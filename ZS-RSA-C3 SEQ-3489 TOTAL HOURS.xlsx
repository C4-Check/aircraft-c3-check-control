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Walter Mokoena\Documents\"/>
    </mc:Choice>
  </mc:AlternateContent>
  <xr:revisionPtr revIDLastSave="0" documentId="8_{5A66425A-041F-42C7-9911-DC570050D463}" xr6:coauthVersionLast="47" xr6:coauthVersionMax="47" xr10:uidLastSave="{00000000-0000-0000-0000-000000000000}"/>
  <bookViews>
    <workbookView xWindow="-80" yWindow="-80" windowWidth="19360" windowHeight="10240" xr2:uid="{FEAE5C54-B818-4AA3-8B47-1A71E6385976}"/>
  </bookViews>
  <sheets>
    <sheet name="TOTAL HOURS " sheetId="1" r:id="rId1"/>
  </sheets>
  <definedNames>
    <definedName name="_xlnm._FilterDatabase" localSheetId="0" hidden="1">'TOTAL HOURS '!$A$2:$K$1511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18" i="1" l="1"/>
  <c r="F1517" i="1"/>
  <c r="F1516" i="1"/>
  <c r="F728" i="1"/>
  <c r="C728" i="1"/>
  <c r="F691" i="1"/>
  <c r="C691" i="1"/>
  <c r="F683" i="1"/>
  <c r="F639" i="1"/>
  <c r="C639" i="1"/>
  <c r="F630" i="1"/>
  <c r="C630" i="1"/>
  <c r="F624" i="1"/>
  <c r="C624" i="1"/>
  <c r="F612" i="1"/>
  <c r="C612" i="1"/>
  <c r="F603" i="1"/>
  <c r="C603" i="1"/>
  <c r="F588" i="1"/>
  <c r="C588" i="1"/>
  <c r="F578" i="1"/>
  <c r="C578" i="1"/>
  <c r="F572" i="1"/>
  <c r="C572" i="1"/>
  <c r="F556" i="1"/>
  <c r="C556" i="1"/>
  <c r="F549" i="1"/>
  <c r="C549" i="1"/>
  <c r="F414" i="1"/>
  <c r="F207" i="1"/>
  <c r="F138" i="1"/>
  <c r="C138" i="1"/>
  <c r="F89" i="1"/>
  <c r="C89" i="1"/>
  <c r="F80" i="1"/>
  <c r="C80" i="1"/>
  <c r="F55" i="1"/>
  <c r="C55" i="1"/>
  <c r="F23" i="1"/>
  <c r="C23" i="1"/>
  <c r="F13" i="1"/>
  <c r="C13" i="1"/>
  <c r="F4" i="1"/>
  <c r="C4" i="1"/>
  <c r="F1519" i="1" l="1"/>
</calcChain>
</file>

<file path=xl/sharedStrings.xml><?xml version="1.0" encoding="utf-8"?>
<sst xmlns="http://schemas.openxmlformats.org/spreadsheetml/2006/main" count="6441" uniqueCount="2623">
  <si>
    <t>ID</t>
  </si>
  <si>
    <t>TASK DESCRIPTION</t>
  </si>
  <si>
    <t>TOTALS</t>
  </si>
  <si>
    <t>SKILL</t>
  </si>
  <si>
    <t>Est. Hrs</t>
  </si>
  <si>
    <t>USED HOUR</t>
  </si>
  <si>
    <t>SIGN &amp; STAMP</t>
  </si>
  <si>
    <t>DATE</t>
  </si>
  <si>
    <t>TASK RECEIVED</t>
  </si>
  <si>
    <t>STATUS</t>
  </si>
  <si>
    <t>BOEING MPD TASK NUMBER</t>
  </si>
  <si>
    <t>DOCUMENTS JOB CARD</t>
  </si>
  <si>
    <t>MEC</t>
  </si>
  <si>
    <t>OPEN</t>
  </si>
  <si>
    <t>BBJ APP D-2 1 Monthly Inspection</t>
  </si>
  <si>
    <t>ELECTRICAL POWER - OPERATION TEST GROUND FAULT INTERRUPTER - FWD CB PANEL (1). [AS PER OMM, CHAP 05-10-00, CHAP 24-00]</t>
  </si>
  <si>
    <t>AVIONICS</t>
  </si>
  <si>
    <t>OMM</t>
  </si>
  <si>
    <t>ELECTRICAL POWER - OPERATION TEST GROUND FAULT INTERRUPTER - AFT CB PANEL (3). [AS PER OMM, CHAP 05-10-00, CHAP 24-00]</t>
  </si>
  <si>
    <t>ELECTRICAL POWER - OPERATION TEST GROUND FAULT INTERRUPTER - RELAY PANEL (2). [AS PER OMM, CHAP 05-10-00, CHAP 24-00]</t>
  </si>
  <si>
    <t>EMERGENCY EQUIPMENT-GENERAL VISUAL - SMOKE GOGGLES (EXISTING). [AS PER OMM, CHAP 05-10-00, CHAP 25-60]</t>
  </si>
  <si>
    <t>Nelson</t>
  </si>
  <si>
    <t>CLOSED</t>
  </si>
  <si>
    <t>EMERGENCY EQUIPMENT – GENERAL VISUAL CHECK – BCF FIRE EXTINGUISHER. [AS PER OMM, CHAP 05-10-00, CHAP 25-60]</t>
  </si>
  <si>
    <t>CHECK NOSE AND MAIN LANDING GEAR TIRES FOR PROPER INFLATION. SERVICE AS REQUIRED. INTERVAL NOTE: TIRE PRESSURE CHECK INTERVALS SHOULD BE DETERMINED BY BBJ OPERATORS BASED UPON THEIR INDIVIDUAL OPERATING ENVIRONMENT AND OPERATOR IN- SERVICE EXPERIENCE. EACH OPERATOR SHOULD ASSESS THEIR FLEET OPERATION AND ADJUST PRESSURE CHECK INTERVALS ACCORDINGLY TO AVOID TIRE PRESSURE IMBALANCES AND ASSURE PROPER TIRE INFLATION. [AS PER AMM REF 12-15-51-780 AND 12 15-51-610]</t>
  </si>
  <si>
    <t>Tshepo</t>
  </si>
  <si>
    <t>AMM</t>
  </si>
  <si>
    <t>OPERATIONAL CHECK OF THE STANDBY POWER CONTROL UNIT (SPCU). AIRPLANE NOTE: APPLIES TO AIRPLANES WITH DUAL BATTERY INSTALLATIONS ONLY. [AMM REF 24-34-00-710]</t>
  </si>
  <si>
    <t>Amo</t>
  </si>
  <si>
    <t>VISUALLY CHECK NOSE AND MAIN LANDING GEAR TIRES AND WHEELS FOR CONDITION AND WEAR. [AMM 32-45-00-700</t>
  </si>
  <si>
    <t>BBJ APP D3-2 YEARLY INSPECTION</t>
  </si>
  <si>
    <t>OPERATIONALLY CHECK THE EMERGENCY FLASHLIGHTS. INTERVAL NOTE: AT SCHEDULED BATTERY CHANGE OR BATTERY RESTORATION [AMM REF 25-64-00-200, 25-64-00-900]</t>
  </si>
  <si>
    <t>Success</t>
  </si>
  <si>
    <t>VISUALLY CHECK ALL DETACHABLE EMERGENCY EQUIPMENT (GLOVES, SMOKE GOGGLES, CRASH AXE, FLASH LIGHTS, FIRST AID KITS, AND MEDICAL KITS, AS APPLICABLE) FOR CONDITION AND PRESENCE. [AMM REF 25-64-00-210]</t>
  </si>
  <si>
    <t>PERFORM DETAIL VISUAL INSPECTION OF THE STABILIZER TRIM JACKSCREW, BALL NUT, BALL NUT RETURN TUBES AND THE UPPER AND LOWER GIMBAL PINS. [AMM REF 27-41-81-210]</t>
  </si>
  <si>
    <t>PERFORM A GENERAL VISUAL INSPECTION OF THE FORWARD POSITION LENS ON THE WINGLET - DUAL LENS CONFIGURATION (GLASS) AIRPLANE NOTE: DUAL LENS CONFIGURATION (GLASS). THIS TASK IS EQUIVALENT TO APB TASK 33-WO2-00 [AMM REF 57-21-22-200]</t>
  </si>
  <si>
    <t>RESTORE (TWO OR MORE COMPLETE DEEP CYCLES) BATTERY CAPACITY TO REQUIRED STANDARD. [AMM REF 33-51-00-720] -EMERGENCY BATTERY</t>
  </si>
  <si>
    <t>FUNCTIONALLY CHECK OF THE AIR TRAFFIC CONTROL SYSTEM. [AMM REF 34-53-00-730]</t>
  </si>
  <si>
    <t>34-110-01-01</t>
  </si>
  <si>
    <t>FUNCTIONAL LEAK CHECK OF THE STANDBY PITOT SYSTEM. INTERVAL NOTE: OR NATIONAL REQUIREMENT. THIS TASK MEETS THE REQUIREMENT OF 91.411, INSPECTION/TEST OF FAR PART 43 APPENDIX E. [AMM REF 34-10-00-780]</t>
  </si>
  <si>
    <t>FUNCTIONAL LEAK CHECK OF THE STANDBY STATIC SYSTEM. INTERVAL NOTE: OR NATIONAL REQUIREMENT. THIS TASK MEETS THE REQUIREMENT OF 91.411. [AMM REF 34-11-00-790]</t>
  </si>
  <si>
    <t>FUNCTIONAL CHECK OF THE PRESSURE ALTIMETRY SYSTEM AIR DATA MODULE. [AMM REF 34-11-00-780]</t>
  </si>
  <si>
    <t>34-060-10-01</t>
  </si>
  <si>
    <t>BBJ APP D-5 3 Yearly Inspection</t>
  </si>
  <si>
    <t>LUBRICATE THE LEFT WING AILERON MECHANICAL CONTROL PATH AND AILERON POWER CONTROL UNITS. [AMM REF 12-22-11-640 AND 12 22-11-600]</t>
  </si>
  <si>
    <t>27-026-01-01</t>
  </si>
  <si>
    <t>LUBRICATE THE RIGHT WING AILERON MECHANICAL CONTROL PATH. [AMM REF 12-22-11-640 AND 12 22-11-600]</t>
  </si>
  <si>
    <t>27-026-02-01</t>
  </si>
  <si>
    <t>CHECK FLAP POWER DRIVE UNIT OIL LEVEL AND SERVICE AS REQUIRED. [AMM REF 12-22-51-610]</t>
  </si>
  <si>
    <t>27-132-00-01</t>
  </si>
  <si>
    <t>LUBRICATE THE LEFT WING FLAP SKEW SENSOR MECHANISM. ACCESS NOTE: FLAPS DEPLOYED [AMM REF 12-22-51-640]</t>
  </si>
  <si>
    <t>27-136-01-01</t>
  </si>
  <si>
    <t>LUBRICATE THE RIGHT WING FLAP SKEW SENSOR MECHANISM. ACCESS NOTE: FLAPS DEPLOYED [AMM REF 12-22-51-640]</t>
  </si>
  <si>
    <t>27-136-02-01</t>
  </si>
  <si>
    <t>LUBRICATE THE FLAP DRIVE TORQUE TUBE SUPPORTS AND COUPLINGS. ACCESS NOTE: FLAPS DEPLOYED. [AMM REF 12-22-51-640]</t>
  </si>
  <si>
    <t>27-138-00-01</t>
  </si>
  <si>
    <t>CHECK THE LEFT WING FLAP DRIVE TRANSMISSION OIL LEVEL AND SERVICE AS REQUIRED. ACCESS NOTE: FLAPS DEPLOYED. [AMM REF 12-22-51-610]</t>
  </si>
  <si>
    <t>27-140-01-01</t>
  </si>
  <si>
    <t>CHECK THE RIGHT WING FLAP DRIVE TRANSMISSION OIL LEVEL AND SERVICE AS REQUIRED. ACCESS NOTE: FLAPS DEPLOYED. [AMM REF 12-22-51-610]</t>
  </si>
  <si>
    <t>27-140-02-01</t>
  </si>
  <si>
    <t>LUBRICATE THE LEFT AND RIGHT TRAILING ADGE FLAP BALLSCREW ASSEMBLIES AND TRANSMISSION UNIVERSAL JOINTS. ACCESS NOTE: FLAPS DEPLOYED [AMM REF 12-22-51-640]</t>
  </si>
  <si>
    <t>27-144-00-01/ 27144-00-02</t>
  </si>
  <si>
    <t>LUBRICATE THE #4 FLAP TRANSMISSION ANGLE/TEE GEARBOX UNIVERSAL JOINTS. [AMM REF 12-22-51-640]</t>
  </si>
  <si>
    <t>27-152-01-01</t>
  </si>
  <si>
    <t>LUBRICATE THE #5 FLAP TRANSMISSION ANGLE/TEE GEARBOX UNIVERSAL JOINTS. [AMM REF 12-22-51-640]</t>
  </si>
  <si>
    <t>27-152-02-01</t>
  </si>
  <si>
    <t>LUBRICATE THE LEFT WING #4 INBOARD FLAP TRACK ATTACHMENT FITTINGS. [AMM REF 12-22-51-640]</t>
  </si>
  <si>
    <t>27-176-01-01</t>
  </si>
  <si>
    <t>LUBRICATE THE RIGHT WING #5 INBOARD FLAP TRACK ATTACHMENT FITTINGS. [AMM REF 12-22-51-640]</t>
  </si>
  <si>
    <t>27-176-02-01</t>
  </si>
  <si>
    <t>LUBRICATE THE SPOILER MIXER. [AMM REF 12-22-61-600]</t>
  </si>
  <si>
    <t>0.5</t>
  </si>
  <si>
    <t>27-182-00-01</t>
  </si>
  <si>
    <t>LUBRICATE THE LEFT WING SPOILER MECHANICAL CONTROL PATH. ACCESS NOTE: FLAPS DEPLOYED. [AMM REF12-22-61-640 AND 12-22-61-600]</t>
  </si>
  <si>
    <t>27-182-01-01</t>
  </si>
  <si>
    <t>LUBRICATE THE RIGHT WING SPOILER MECHANICAL CONTROL PATH. ACCESS NOTE: FLAPS DEPLOYED. [AMM REF 12-22-61-640 AND 12-22-61-600]</t>
  </si>
  <si>
    <t>27-182-02-01</t>
  </si>
  <si>
    <t>LUBRICATE THE SPEED BRAKE LEVER NO-BACK BRAKE. [AMM REF 12-22-81-600]</t>
  </si>
  <si>
    <t>27-186-00-01</t>
  </si>
  <si>
    <t>LUBRICATE THE LEFT WING LEADING EDGE SLAT ROLLERS. ACCESS NOTE: LEADING EDGES EXTENDED. [AMM REF 12-22-71-600]</t>
  </si>
  <si>
    <t>27-220-01-01</t>
  </si>
  <si>
    <t>LUBRICATE THE RIGHT WING LEADING EDGE SLAT ROLLERS. ACCESS NOTE: LEADING EDGES EXTENDED. [AMM REF 12-22-71-600]</t>
  </si>
  <si>
    <t>27-220-02-01</t>
  </si>
  <si>
    <t>LUBRICATE THE LEFT WING LEADING EDGE SLAT TRACKS. ACCESS NOTE: LEADING EDGES EXTENDED. [AMM REF 12-22-71-640]</t>
  </si>
  <si>
    <t>27-222-01-01</t>
  </si>
  <si>
    <t>LUBRICATE THE RIGHT WING LEADING EDGE SLAT TRACKS. ACCESS NOTE: LEADING EDGES EXTENDED. [AMM REF 12-22-71-640]</t>
  </si>
  <si>
    <t>27-222-02-01</t>
  </si>
  <si>
    <t>OPERATIONALLY CHECK ENGINE FUEL SUCTION FEED SYSTEM. SPECIAL NOTE: THIS TASK ACCOMPLISHES AIRWORTHINESS LIMITATION TASK 28-AWL-101. [AMM REF 28-22-00-710 AND 28-AWL-101]</t>
  </si>
  <si>
    <t>28-050-00-01</t>
  </si>
  <si>
    <t>RESTORATION (RS) - CABIN AIR FILTER:- CLEAN OR REPLACE CABIN AIR FILTERS PER PMM 28-20-13. (CONDITIONAL SYSTEM REMOVAL OR MAINTENANCE OR 3 YRS) [AS PER PATS A/C TO 1771 R "E" , MPDS TASK NR 28-20-04]</t>
  </si>
  <si>
    <t>RESTORATION (RS) - BLEED AIR FILTER:- CLEAN OR REPLACE BLEED AIR FILTERS PER PMM 28-20-15. [AS PER PATS A/C TO 1771 R "E", TASK NR 28-20-05]</t>
  </si>
  <si>
    <t>DISCARD THE DEDICATED BATTERY/CHARGER INTERNAL BATTERY FOR THE INTEGRATED STANDBY FLIGHT SYSTEM. AIRPLANE NOTE: IF INSTALLED.[AMM REF 34-24-03-000 AND 34-2-03-400]</t>
  </si>
  <si>
    <t>Tebogo</t>
  </si>
  <si>
    <t>LUBRICATE THE ENTRY AND SERVICE DOOR HANDLE, LATCH MECHANISMS AND THE TORQUE TUBE HANDLE BOX BEARINGS (ALL FOUR DOORS) AND THE FWD ENTRY DOOR STOP RODS. INTERVAL NOTE: SOME BBJ SERVICE DOORS HAVE BEEN DE-ACTIVATED (PER INTERIOR COMPLETION STC) AND CANNOT BE OPENED FROM THE OUTSIDE. FOR DE-ACTIVATED DOORS THE INTERVAL IS 8 YEARS. [AMM REF 12-25-11-640, 12-25-12-640 AND 12-25-13-640]</t>
  </si>
  <si>
    <t>52-010-00-01/ 52-010-00-02 /52-010-00-03</t>
  </si>
  <si>
    <t>LUBRICATE THE ENTRY DOOR AND SERVICE GUIDE PLATE TRACKS AND ARM ASSY, TORQUE TUBE BUSHINGS, UPPER AND LOWER HINGE ARMS &amp; GATE HINGES AND THE BODY TORQUE TUBE FOR THE FORWARD ENTRY DOOR ONLY. INTERVAL NOTE: SOME BBJ SERVICE DOORS HAVE BEEN DE-ACTIVATED (PER INTERIOR COMPLETION STC) AND CANNOT BE OPENED FROM THE OUTSIDE FOR DE-ACTIVATED DOORS THE INTERVAL IS 8 YEARS. [AMM REF 12-25-11-640, 12-25-12-640 AND 12-25-13-640]</t>
  </si>
  <si>
    <t>52-020-00-01/ 52-020-00-02/ 52-020-00-03</t>
  </si>
  <si>
    <t>LUBRICATE THE CARGO COMPARTMENT DOOR LATCH TORQUE TUBE BEARINGS AND THE COUNTER BALANCE MAIN BEARINGS. [AMM REF 12-25-31-640]</t>
  </si>
  <si>
    <t>52-090-00-01/ 52-090-00-02</t>
  </si>
  <si>
    <t>LUBRICATE THE E/E ACCESS DOOR HANDLE LATCHING MECHANISM (RACK AND PINION GEAR AND THE LOCK PINS). [AMM REF 12-25-41-640]</t>
  </si>
  <si>
    <t>52-120-00-01</t>
  </si>
  <si>
    <t>LUBRICATE THE AIR STAIR SYSTEM. PER THE MANUFACTURER’S RECOMMENDATION. AIRPLANE NOTE: IF AIR STAIRS SYSTEM INCLUDING AIR STAIRS INSTALLED [AMM REF 12-25-71-600]</t>
  </si>
  <si>
    <t>52-160-00-01</t>
  </si>
  <si>
    <t>LUBRICATE THE INSIDE RELEASE MECHANISMS FOR THE PILOT AND CO-PILOTS NO 2 SLIDING WINDOWS. LUBRICATE THE OUTSIDE RELEASE MECHANISM FOR THE CO-PILOTS NO 2 SLIDING WINDOW [AMM REF 12-25-81-600]</t>
  </si>
  <si>
    <t>56-010-00-01</t>
  </si>
  <si>
    <t>D6 - 5 YEARLY INSPECTION</t>
  </si>
  <si>
    <t>EMERGENCY EQUIPMENT-RESTORATION - LIFE VEST- CREW. [AS PER OMM, CHAP 05-10-00, CHAP 25-60]</t>
  </si>
  <si>
    <t>EMERGENCY EQUIPMENT-RESTORATION - LIFE VEST- ADULT/CHILD. [AS PER OMM, CHAP 05-10-00, CHAP 25-60]</t>
  </si>
  <si>
    <t>EMERGENCY EQUIPMENT -DETAILED VISUAL &amp; HYDROSTATIC TEST – LIFE RAFT INFLATION CYLINDER. [AS PER OMM, CHAP 05-10-00, CHAP 25-60]</t>
  </si>
  <si>
    <t>EMERGENCY EQUIPMENT -DETAILED VISUAL - SURVIVAL KIT (FOOD AND WATER). [AS PER OMM, CHAP 05-10-00, CHAP 25-60]</t>
  </si>
  <si>
    <t>DISCARD, LIGHTS- EMERGENCY BATTERY PACKS LOCATED IN THE - ENTRANCE SIDE LEDGE. [AS PER MM CHAP 05-10-00, CHAP 33-00]</t>
  </si>
  <si>
    <t>DISCARD, LIGHTS- EMERGENCY BATTERY PACKS LOCATED IN THE- AISLE SIDE LEDGE. [AS PER MM CHAP 05-10-00, CHAP 33-00]</t>
  </si>
  <si>
    <t>DISCARD, LIGHTS- EMERGENCY BATTERY PACKS LOCATED IN THE- MASTER OFFICE- DIVAN. [AS PER MM CHAP 05-10-00, CHAP 33-00]</t>
  </si>
  <si>
    <t>DISCARD, LIGHTS- EMERGENCY BATTERY PACKS LOCATED IN THE- MASTER OFFICE- SIDE LEDGE. [AS PER MM CHAP 05-10-00, CHAP 33-00]</t>
  </si>
  <si>
    <t>DISCARD, LIGHTS- EMERGENCY BATTERY PACKS LOCATED IN THE- EXECUTIVE AREA- EXECUTIVE- SIDEWALL RH. . [AS PER MM CHAP 05-10-00, CHAP 33-00]</t>
  </si>
  <si>
    <t>LIGHTS-TOTAL COMBINED SHELF AND OPERATIONAL LIFE EMERGENCY BATTERY PACKS LOCATED IN THE: - MASTER OFFICE- SIDE LEDGE [AS PER OMM, CHAP 05-10-00, CHAP 33-00]</t>
  </si>
  <si>
    <t>LIGHTS-TOTAL COMBINED SHELF AND OPERATIONAL LIFE EMERGENCY BATTERY PACKS LOCATED IN THE - EXECUTIVE AREA- SIDEWALL RH. [AS PER OMM, CHAP 05-10-00, CHAP 33-00]</t>
  </si>
  <si>
    <t>LIGHTS-TOTAL COMBINED SHELF AND OPERATIONAL LIFE EMERGENCY BATTERY PACKS LOCATED IN THE: BATTERY PACK [AS PER OMM, CHAP 05-10-00, CHAP 33-00]</t>
  </si>
  <si>
    <t>OXYGEN SYSTEM-RESTORATION DEPLOYMENT CONTAINER - BOX DUAL CONTAINER. [AS PER OMM, CHAP 05-10-00, CHAP 35-00]</t>
  </si>
  <si>
    <t>OXYGEN SYSTEM-RESTORATION DEPLOYMENT CONTAINER - MASK. [AS PER OMM, CHAP 05-10-00, CHAP 35-00]</t>
  </si>
  <si>
    <t>OXYGEN SYSTEM-RESTORATION AND HYDROSTATIC TEST PORTABLE OXYGEN BOTTLE. [AS PER OMM, CHAP 05-10-00, CHAP 35-00]</t>
  </si>
  <si>
    <t>OXYGEN SYSTEM-RESTORATION AND HYDROSTATIC TEST MEDICAL OXYGEN BOTTLE. [AS PER OMM, CHAP 05-10-00, CHAP 35-00]</t>
  </si>
  <si>
    <t>WATER/ WASTE SYSTEM -USAGE LIFE AT LEAST INTEGRATED WATER PROCESSING UNIT (IWPU) - UV LAMP. [AS PER OMM, CHAP 05-10-00, CHAP 38-00]</t>
  </si>
  <si>
    <t>MEC/AVIONICS</t>
  </si>
  <si>
    <t>WATER/ WASTE SYSTEM -USAGE LIFE AT LEAST INTEGRATED WATER PROCESSING UNIT (IWPU) - HEATER ELEMENT. [AS PER OMM, CHAP 05-10-00, CHAP 38-00]</t>
  </si>
  <si>
    <t>FUNCTIONAL CHECK ENGINE FIRE BOTTLE PRESSURE SWITCH (OFF AIRCRAFT). INTERVAL NOTE: AT VENDORS RECOMMENDATION. [AMM REF 26-21-01-100 &amp; 26-21-01-400]</t>
  </si>
  <si>
    <t>26-100-00-01</t>
  </si>
  <si>
    <t>OPERATIONAL CHECK OF ENGINE FIRE EXTINGUISHER SYSTEM CHECK VALVES FOR FREEDOM OF MOVEMENT. INTERVAL NOTE: AT BOTTLE CHANGE. [AMM REF 26-21-01-000 AND 26-21-01-400]</t>
  </si>
  <si>
    <t>26-090-00-01</t>
  </si>
  <si>
    <t>FUNCTIONAL CHECK THE ENGINE FIRE BOTTLE PRESSURE GAUGE (OFF AIRCRAFT). INTERVAL NOTE: AT VENDORS RECOMMENDATION. [AMM REF 26-21-01-400 AND 26-21-01-000]</t>
  </si>
  <si>
    <t>26-120-00-01</t>
  </si>
  <si>
    <t>REPLACEMENT OF THE ENGINE FIRE BOTTLE OVERPRESSURE RELIEF DISC (OFF AIRCRAFT). INTERVAL NOTE: AT VENDORS RECOMMENDATION. [AMM REF 26-21-01-400 AND 26-21-01-000]</t>
  </si>
  <si>
    <t>26-130-00-01</t>
  </si>
  <si>
    <t>FUNCTIONAL CHECK THE APU FIRE BOTTLE PRESSURE SWITCH (OFF AIRCRAFT). INTERVAL NOTE: INTERVAL FOR P/N 19915903 IS 120 MONTH OR EVERY TIME FIRE CONTROL MODULE OR PRESSURE SWITCH IS DISCONNECTED FROM THE A/C WIRING [AMM REF 26-22-01-210]</t>
  </si>
  <si>
    <t>26-265-00-01/ 26-260-00-01</t>
  </si>
  <si>
    <t>RESTORE THE VALVE/REGULATOR. [AS PER OMM, CHAP 05-10-00, CHAP 35-00]</t>
  </si>
  <si>
    <t>BBJ APP D-7 6 Yearly Inspection</t>
  </si>
  <si>
    <t>LUBRICATE THE MAIN AND STANDBY RUDDER POWER CONTROL ROD ENDS AND RUDDER HINGES. [AMM REF 12-22-21-600 &amp; 21-22-21-640] FIX WORDING</t>
  </si>
  <si>
    <t>27-046-00-01</t>
  </si>
  <si>
    <t>LUBRICATE THE ELEVATOR MECHANICAL CONTROL PATH. [AMM REF 12-22-31-600, AND 12-22-31-640]</t>
  </si>
  <si>
    <t>27-070-00-01/ 27-070-00-02</t>
  </si>
  <si>
    <t>DISCARD THE UNDERWATER LOCATOR DEVICE BATTERY (OFF AIRCRAFT) SPECIAL NOTE: THIS TASK IS FOR THE LOW FREQUENCY UNDERWATER LOCATOR DEVICE. AEROPLANE NOTE: IF INSTALLED. [AMM REF 23-25-03-000 AND 23-25-03-400]</t>
  </si>
  <si>
    <t>23-130-00-01</t>
  </si>
  <si>
    <t>FUNCTIONALLY CHECK (RESISTANCE MEASUREMENT) THE BONDING BETWEEN MOTOR OPERATED VALVE ACTUATOR AND THE ADJOINING STRUCTURE SPECIAL NOTE: AWL TASK (28-AWL-24) INTERVAL FOR THIS TASK IS 72 MOS. SEE MPD SECTION 9. [AMM REF 28-22-11-720]</t>
  </si>
  <si>
    <t>28-199-00-01</t>
  </si>
  <si>
    <t>OPERATIONALLY CHECK THE NAVIGATION/DISPLAYS SOURCE SELECT PANEL INERTIAL REFERENCE SYSTEM TRANSFER SWITCH. [AMM REF 34-21-00-710]</t>
  </si>
  <si>
    <t>34-105-00-01</t>
  </si>
  <si>
    <t>VISUALLY CHECK THE TEMPERATURE SENSITIVE TAPE ON EACH PASSENGER CABIN, (INCLUDING LAVATORY AND CABIN ATTENDANT'S), CHEMICAL OXYGEN GENERATOR. AIRPLANE NOTE: IF INSTALLED. NOT APPLICABLE TO AIRPLANES WITH ALL GASEOUS PASSENGER OXYGEN SYSTEMS. [AMM REF 35-22-00-210]</t>
  </si>
  <si>
    <t>Success/Amo</t>
  </si>
  <si>
    <t>35-060-00-01</t>
  </si>
  <si>
    <t>VISUALLY CHECK OF THE PASSENGER LAVATORY OXYGEN CONSTANT DISPENSING SYSTEM (CDS) DISCHARGE INDICATOR TAPE FOR EVIDENCE OF RUPTURE AND VERIFY OXYGEN ACTIVATION PIN HAS NOT BEEN PULLED OUTTEMPERATURE SENSITIVE TAPE ON EACH PASSENGER CABIN, (INCLUDING LAVATORY AND CABIN ATTENDANT'S), CHEMICAL OXYGEN GENERATOR. AIRPLANE NOTE: IF INSTALLED. NOT APPLICABLE TO AIRPLANES WITH ALL GASEOUS PASSENGER OXYGEN SYSTEMS. [AMM REF 35-22-00-210]</t>
  </si>
  <si>
    <t>35-065-00-01</t>
  </si>
  <si>
    <t>LUBRICATE THE VORTEX GENERATOR HINGE PIN. [AMM REF 49-15-22-600]</t>
  </si>
  <si>
    <t>BBJ APP E-1 A1 Check</t>
  </si>
  <si>
    <t>PLACARDS AND MARKINGS - GENERAL VISUAL SIGNS AND PLACARDS. [AS PER OMM, CHAP 05-10-00, CHAP 11-00]</t>
  </si>
  <si>
    <t>EQUIPMENT/FURNISHING-OPERATIONAL CHECK OF THE OVERRIDE MECHANISM - FWD FACING SEATS- MASTER OFFICE. [AS PER OMM, CHAP 05-10-00, CHAP 25-00]</t>
  </si>
  <si>
    <t>EMERGENCY EQUIPMENT-GENERAL VISUAL INSPECT - SMOKE HOOD. [AS PER OMM CHAP 05-10-00, CHAP 25-60]</t>
  </si>
  <si>
    <t>OXYGEN SYSTEM-GENERAL VISUAL – OXYGEN GENERATOR. [AS PER OMM, CHAP 05-10-00, CHAP 35-00]</t>
  </si>
  <si>
    <t>WATER/ WASTE SYSTEM –CHANGE – WATER FILTER (POTABLE) – AUX GALLEY CABINET (2) – CARTRIDGE. [AS PER OMM, CHAP 05-10-00, CHAP 38-00]</t>
  </si>
  <si>
    <t>CONDUCTIVITY SENSOR IF SENSOR IS OUT OF CALIBRATION BY CLEANING THE SYSTEM [AS PER OMM CHAP 05-10-00, CHAP 38-00]</t>
  </si>
  <si>
    <t>WATER/ WASTE SYSTEM -VISUAL INSPECTION AND CLEANING OF UNIT - WATER WASTE FILTER (STRAINER) - AFT GALLEY. [AS PER OMM CHAP 05-10-00 CHAP 38-00]</t>
  </si>
  <si>
    <t>WATER/WASTE SYSTEM - REPLACE POTABLE CARTRIDGES. [AS PER OMM CHAP 05-20-00, CHAP 38-00]</t>
  </si>
  <si>
    <t>RESTORE THE FIRST AID KITS AT THE MANUFACTURER'S RECOMMENDED INTERVAL. INTERVAL NOTE: VENDOR RECOMMENDATION AIRPLANE NOTE: IF INSTALLED [AMM 25-64-00-900]</t>
  </si>
  <si>
    <t>Mandisa</t>
  </si>
  <si>
    <t>CLEAN EXPOSED SURFACES OF THE LEFT MAIN LANDING GEAR SHOCK STRUT. [AMM REF 32-00-10-100]</t>
  </si>
  <si>
    <t>32-010-01-01</t>
  </si>
  <si>
    <t>CLEAN EXPOSED SURFACES OF THE RIGHT MAIN LANDING GEAR SHOCK STRUT. [AMM REF 32-00-10-100]</t>
  </si>
  <si>
    <t>32-010-02-01</t>
  </si>
  <si>
    <t>LUBRICATE THE LEFT MAIN LANDING GEAR ASSEMBLY. [AMM REF 12-21-11-640 AND 12-25-07-600]</t>
  </si>
  <si>
    <t>32-030-01-01</t>
  </si>
  <si>
    <t>LUBRICATE THE RIGHT MAIN LANDING GEAR ASSEMBLY. [AMM REF 12-21-11-640 AND 12-25-07-600]</t>
  </si>
  <si>
    <t>32-030-02-01</t>
  </si>
  <si>
    <t>CLEAN EXPOSED SURFACE OF THE NOSE LANDING GEAR STRUT. [AMM REF 32-00-10-100]</t>
  </si>
  <si>
    <t>32-060-00-01</t>
  </si>
  <si>
    <t>LUBRICATE THE NOSE LANDING GEAR ASSEMBLY. [AMM REF 12-21-21-640]</t>
  </si>
  <si>
    <t>32-080-00-01</t>
  </si>
  <si>
    <t>VISUALLY CHECK THE LEFT BRAKE WEAR PINS FOR MINIMUM EXTENSION. [AMM REF 32-41-41-700]</t>
  </si>
  <si>
    <t>32-270-01-01</t>
  </si>
  <si>
    <t>VISUALLY CHECK THE RIGHT BRAKE WEAR PINS FOR MINIMUM EXTENSION. [AMM REF 32-41-41-700]</t>
  </si>
  <si>
    <t>32-270-02-01</t>
  </si>
  <si>
    <t>PERFORM AN EXTERNAL ZONAL INSPECTION (GV) OF THE NOSE LANDING GEAR AND LANDING GEAR DOORS. INSPECTION IS ACCOMPLISHED FROM THE GROUND, WITHOUT THE USE OF STANDS OR LADDERS. (EZAP) [AMM REF 05-41-07-210]</t>
  </si>
  <si>
    <t>32-800-00-01</t>
  </si>
  <si>
    <t>PERFORM AN EXTERNAL ZONAL INSPECTION (GV) OF THE LEFT MAIN LANDING GEAR AND LANDING GEAR DOORS. INSPECTION IS ACCOMPLISHED FROM THE GROUND, WITHOUT THE USE OF STANDS OR LADDERS. [AMM REF 05-41-07-210]</t>
  </si>
  <si>
    <t>32-804-01-01</t>
  </si>
  <si>
    <t>PERFORM AN EXTERNAL ZONAL INSPECTION (GV) OF THE RIGHT MAIN LANDING GEAR AND LANDING GEAR DOORS. INSPECTION IS ACCOMPLISHED FROM THE GROUND, WITHOUT THE USE OF STANDS OR LADDERS. [AMM REF 05-41-07-210]</t>
  </si>
  <si>
    <t>32-808-02-01</t>
  </si>
  <si>
    <t>OPERATIONAL CHECK OF THE EMERGENCY LIGHTS. [AMM REF 33-51-00-710]</t>
  </si>
  <si>
    <t>20 nov 202</t>
  </si>
  <si>
    <t>33-020-00-01</t>
  </si>
  <si>
    <t>PERFORM AN EXTERNAL ZONAL INSPECTION (GV) OF THE LOWER FUSELAGE. THE NOSE LANDING GEAR WHEEL WELL AND MAIN LANDING GEAR WHEEL WELL ARE ALSO INCLUDED. INSPECTION IS ACCOMPLISHED FROM THE GROUND, WITHOUT THE USE OF STANDS OR LADDERS. NO ADDITIONAL ACCESS PANELS REQUIRED. (EZAP) [AMM REF 05-41-01-210]</t>
  </si>
  <si>
    <t>53-800-00-01</t>
  </si>
  <si>
    <t>PERFORM AN INTERNAL ZONAL INSPECTION (GV) OF THE FORWARD CARGO COMPARTMENT - SECTION 43, STA 396 TO FORWARD CARGO COMPARTMENT AFT BULKHEAD. [AMM REF 05-41-01-210]</t>
  </si>
  <si>
    <t>53-812-00-01</t>
  </si>
  <si>
    <t>PERFORM AN INTERNAL ZONAL INSPECTION (GV) OF THE AFT CARGO COMPARTMENT - SECTION 46 AND 47 (PART), STA 727 TO STA 947.5. [AMM REF 05-41-01-210]</t>
  </si>
  <si>
    <t>53-830-00-01</t>
  </si>
  <si>
    <t>PERFORM AN EXTERNAL ZONAL INSPECTION (GV) OF THE WING TO BODY FAIRING. INSPECTION IS ACCOMPLISHED FROM THE GROUND, WITHOUT THE USE OF STANDS OR LADDERS. NO ADDITIONAL ACCESS PANELS REQUIRED. [AMM REF 05-41-01-210]</t>
  </si>
  <si>
    <t>53-844-00-01</t>
  </si>
  <si>
    <t>AREA AFT OF THE PRESSURE BULKHEAD. PERFORM AN EXTERNAL ZONAL INSPECTION (GV) OF THE FUSELAGE. INSPECTION IS ACCOMPLISHED FROM THE GROUND, WITHOUT THE USE OF STANDS OR LADDERS [AMM REF 05-41-03-210]</t>
  </si>
  <si>
    <t>53-894-00-01</t>
  </si>
  <si>
    <t>PERFORM AN EXTERNAL ZONAL INSPECTION (GV) OF THE VERTICAL FIN AND HORIZONTAL STABILIZER. INSPECTION IS ACCOMPLISHED FROM THE GROUND, WITHOUT THE USE OF STANDS OR LADDERS. [AMM REF 05-41-03-210]</t>
  </si>
  <si>
    <t>55-800-00-01</t>
  </si>
  <si>
    <t>PERFORM AN EXTERNAL ZONAL INSPECTION (GV) OF THE LEFT WING. INSPECTION IS ACCOMPLISHED FROM THE GROUND, WITHOUT THE USE OF STANDS OR LADDERS, CONTROL SURFACES EXTENDED. ACCESS NOTE: CONTROL SURFACES EXTENDED. [AMM REF 05-41-05-210]</t>
  </si>
  <si>
    <t>57-802-01-01</t>
  </si>
  <si>
    <t>PERFORM AN EXTERNAL ZONAL INSPECTION (GV) OF THE RIGHT WING. INSPECTION IS ACCOMPLISHED FROM THE GROUND, WITHOUT THE USE OF STANDS OR LADDERS, CONTROL SURFACES EXTENDED. ACCESS NOTE: CONTROL SURFACES EXTENDED [AMM REF 05-41-06-210]</t>
  </si>
  <si>
    <t>57-872-02-01</t>
  </si>
  <si>
    <t>EXTERNAL - ZONAL (GV): LEFT WINGLET - PERFORM AN INTERNAL ZONAL INSPECTION OF THE LEFT WINGLET. [AMM REF 05-41-05-210, TASK NO 57-946-01-0, MPD ITEM NO 57-948-01]</t>
  </si>
  <si>
    <t>57-950-01-01</t>
  </si>
  <si>
    <t>EXTERNAL - ZONAL (GV): RIGHT WINGLET - PERFORM AN INTERNAL ZONAL INSPECTION OF THE RIGHT WINGLET. [AMM REF 05-41-06-210, TASK NO 57-948-01-0, MPD ITEM NO 57-948-01]</t>
  </si>
  <si>
    <t>57-960-02-01</t>
  </si>
  <si>
    <t>PERFORM AN EXTERNAL ZONAL INSPECTION (GV) OF ENGINE NO. 1 AND ENGINE NO. 1 STRUT FAIRINGS. INSPECTION IS ACCOMPLISHED FROM THE GROUND, WITHOUT THE USE OF STANDS OR LADDERS. NO ADDITIONAL ACCESS PANELS REQUIRED [AMM REF 05-41-04-210]</t>
  </si>
  <si>
    <t>70-800-01-01</t>
  </si>
  <si>
    <t>PERFORM AN EXTERNAL ZONAL INSPECTION (GV) OF ENGINE NO. 2 AND ENGINE NO. 2 STRUT FAIRINGS. INSPECTION IS ACCOMPLISHED FROM THE GROUND, WITHOUT THE USE OF STANDS OR LADDERS. NO ADDITIONAL ACCESS PANELS REQUIRED [AMM REF 05-41-04-210]</t>
  </si>
  <si>
    <t>70-810-02-01</t>
  </si>
  <si>
    <t>INSPECT GALLEY SURFACES FOR CRACKS, HOLES, CUTS, STAINS, LOOSE BOND OR ANY OTHER OBVIOUS DEFECTS. [AS PER CMM 25-30-00]</t>
  </si>
  <si>
    <t>CMM</t>
  </si>
  <si>
    <t>INSPECT GALLEY WIRING FOR FRAYING, CRACKING OR CHARRING OF INSULATION AND CHECK WIRE LOOMS FOR SECURITY. [AS PER CMM 25-30-00]</t>
  </si>
  <si>
    <t>INSPECT CONDITION OF GALLEY DOOR LATCHES FOR SECURITY AND SMOOTH OPERATION. [AS PER CMM 25-30-00]</t>
  </si>
  <si>
    <t>INSPECT GALLEY PLUMBING COMPONENTS, HOSES AND CONNECTIONS FOR CONDITION AND SECURITY. [AS PER CMM 25-30-00]</t>
  </si>
  <si>
    <t>INSPECT CONDITION OF GALLEY ELECTRICAL INSERT EQUIPMENT AS WELL AS ALL CONNECTORS, CIRCUIT BREAKERS, SWITCHES AND RELAYS. [AS PER CMM 25-30-00]</t>
  </si>
  <si>
    <t>INSPECT GALLEY STRUCTURE FOR DENTS, CRACKS, BENT FLANGES, TEARS AND DAMAGED DECORATIVE MATERIAL. [AS PER CMM 25-30-00]</t>
  </si>
  <si>
    <t>VISUALLY CHECK ALL GALLEY ELECTRICAL COMPONENTS UNDER STRONG LIGHT AND MAGNIFICATION FOR ARCING, AND FOR LOOSE, BENT OR BROKEN PINS OR TERMINALS, AND INSPECT FOR ANY OTHER EVIDENCE OF DAMAGE OR EXCESSIVE WEAR. [AS PER CMM 25-37-00]</t>
  </si>
  <si>
    <t>INSPECT INSULATION ON GALLEY WIRES FOR BREAKS, CRACKS AND FRAYING, AND INSPECT THE INSULATION ON CONNECTORS, TERMINAL COVERS AND TERMINAL STRIPS FOR CRACKS AND BURNS. [AS PER CMM 25-37-00]</t>
  </si>
  <si>
    <t>CHECK ALL GALLEY ELECTRICAL INSERT EQUIPMENT FOR CORRECT FIT AND FUNCTION, AND CLEAN THE AIR CHILLER SCREENS AS PER MANUFACTURER'S INSTRUCTIONS. [AS PER CMM 25-37-00]</t>
  </si>
  <si>
    <t>VISUALLY CHECK ALL GALLEY PLUMBING COMPONENTS, HOSES, TUBING, MANIFOLD, COUPLINGS, TEE-PIECES AND ELBOWS, UNDER STRONG LIGHT AND MAGNIFICATION, FOR CRACKS AND ANY OTHER EVIDENCE OF DAMAGE OR EXCESSIVE WEAR. [AS PER CMM 25-38-00]</t>
  </si>
  <si>
    <t>CHECK ALL HOSES, MANIFOLD AND TUBING FOR BLOCKAGE, CONDITION AND SECURITY. [AS PER CMM 25-38-00]</t>
  </si>
  <si>
    <t>CHECK FOR ANY EVIDENCE OF LEAKING HOSES AND COUPLINGS. [AS PER CMM 25-38-00]</t>
  </si>
  <si>
    <t>VISUALLY CHECK ALL DRAIN SYSTEM COMPONENTS AND HOSES UNDER A STRONG LIGHT AND MAGNIFICATION FOR CRACKS AND ANY EVIDENCE OF DAMAGE OR EXCESSIVE WEAR, AND REMOVE AND CLEAN THE SECONDARY DRAIN STRAINER. [AS PER CMM 25-39-00]</t>
  </si>
  <si>
    <t>CHECK THE HOSES, STRAINER, NON-RETURN VALVES, WASTE FITTING AND THE SINK OUTLETS FOR BLOCKAGE, CONDITION AND SECURITY. [AS PER CMM 25-39-00]</t>
  </si>
  <si>
    <t>BBJ APP E-2 A2 Check</t>
  </si>
  <si>
    <t>TEMPERATURE CONTROL-GENERAL VISUAL PASS CABIN SENSOR MODULE RELOCATED TO STA 411 RH BEHIND SIDE LEDGE. [AS PER OMM, CHAP 05-10-00, CHAP 21-60]</t>
  </si>
  <si>
    <t>TEMPERATURE CONTROL-GENERAL VISUAL TEMPERATURE SENSOR – SIDE LEDGE- MASTER LOUNGE. [AS PER OMM, CHAP 05-10-00, CHAP 21-60]</t>
  </si>
  <si>
    <t>Tshepang</t>
  </si>
  <si>
    <t>TEMPERATURE CONTROL-GENERAL VISUAL TEMPERATURE SENSOR – SIDE EDGE- MASTER OFFICE. [AS PER OMM, CHAP 05-10-00, CHAP 21-60]</t>
  </si>
  <si>
    <t>TEMPERATURE CONTROL-GENERAL VISUAL TEMPERATURE SENSOR - CLOSE THE AIR HEATER. [AS PER OMM, CHAP 05-10-00, CHAP 21-60]</t>
  </si>
  <si>
    <t>TEMPERATURE CONTROL-GENERAL VISUAL AIR HEATER - ABOVE HEADLINER STA 500A. [AS PER OMM, CHAP 05-10-00, CHAP 21-60]</t>
  </si>
  <si>
    <t>TEMPERATURE CONTROL-GENERAL VISUAL CONTROLLER – SIDE LEDGE- MASTER LOUNGE. [AS PER OMM, CHAP 05-10-00, CHAP 21-60]</t>
  </si>
  <si>
    <t>TEMPERATURE CONTROL-GENERAL VISUAL TEMPERATURE SELECTOR – SIDE LEDGE- MASTER LOUNGE. [AS PER OMM, CHAP 05-10-00, CHAP 21-60]</t>
  </si>
  <si>
    <t>HUMIDITY REGULATION - ZONAL DRYING SYSTEM - EXCHANGE HIGH EFFICIENCY FILTER. [AS PER OMM, CHAP 05-10-00, CHAP 21-70]</t>
  </si>
  <si>
    <t>HUMIDITY REGULATION – EXCHANGE GLASS DECK PAD FOR HUMIDIFIER – ZONAL HUMIDIFIER SYSTEM. [AS PER OMM, CHAP 05-10-00, CHAP 21-70]</t>
  </si>
  <si>
    <t>EQUIPMENT/FURNISHING-GENERAL VISUAL – HEADLINER – CEILING PANELS. [AS PER OMM, CHAP 05-10-00, CHAP 25-00]</t>
  </si>
  <si>
    <t>EQUIPMENT/FURNISHING-GENERAL VISUAL – BULKHEADS. [AS PER OMM, CHAP 05-10-00, CHAP 25-00]</t>
  </si>
  <si>
    <t>EQUIPMENT/FURNISHING – GENERAL VISUAL – COMPARTMENT DOORS. [AS PER OMM, CHAP 05-10-00, CHAP 25-00]</t>
  </si>
  <si>
    <t>EQUIPMENT/FURNISHING-GENERAL VISUAL AND OPERATIONAL CHECK – ALL TYPES OF SEATS- TABLES. [AS PER OMM, CHAP 05-10-00, CHAP 25-00]</t>
  </si>
  <si>
    <t>EQUIPMENT/FURNISHING-GENERAL VISUAL – CLOSET AND CABINETS. [AS PER OMM, CHAP 05-10-00, CHAP 25-00]</t>
  </si>
  <si>
    <t>EQUIPMENT/FURNISHING-GENERAL VISUAL CLOSET AND CABINET DOORS AND DRAWERS. [AS PER OMM, CHAP 05-10-00, CHAP 25-00]</t>
  </si>
  <si>
    <t>EQUIPMENT/FURNISHING-GENERAL VISUAL – DIVANS. [AS PER OMM, CHAP 05-10-00, CHAP 25-00]</t>
  </si>
  <si>
    <t>EQUIPMENT/FURNISHING-GENERAL VISUAL SEE 05-20-00 PART 38-00 WASH STAND/VANITY CABINETS. [AS PER OMM, CHAP 05-10-00, CHAP 25-00]</t>
  </si>
  <si>
    <t>GALLEY EQUIPMENT-DETAILED INSPECTION – COFFEE MAKER – AFT GALLEY. [AS PER OMM, CHAP 05-10-00, CHAP 25-30]</t>
  </si>
  <si>
    <t>GALLEY EQUIPMENT-GENERAL VISUAL – AFT GALLEY – AIR CHILLER. [AS PER OMM, CHAP 05-10-00, CHAP 25-30]</t>
  </si>
  <si>
    <t>GALLEY EQUIPMENT – DETAILED VISUAL – AFT GALLEY – STEAM OVEN. [AS PER OMM, CHAP 05-10-00, CHAP 25-30]</t>
  </si>
  <si>
    <t>GALLEY EQUIPMENT-GENERAL VISUAL – AFT GALLEY – REFRIGERATOR/FREEZER. [AS PER OMM, CHAP 05-10-00, CHAP 25-30]</t>
  </si>
  <si>
    <t>GALLEY COMPLEX-GENERAL VISUAL AFT GALLEY. [AS PER OMM, CHAP 05-10-00, CHAP 25-30]</t>
  </si>
  <si>
    <t>EMERGENCY EQUIPMENT-GENERAL VISUAL - SAFETY BELT. [AS PER OMM, CHAP 05-10-00, CHAP 25-60]</t>
  </si>
  <si>
    <t>EMERGENCY EQUIPMENT-OPERATIONAL CHECK - SAFETY BELT. [AS PER OMM, CHAP 05-10-00, CHAP 25-60]</t>
  </si>
  <si>
    <t>EMERGENCY EQUIPMENT-A COMPLETE DISCHARGE FOLLOWED BY A FULL RE-CHARGE - FLASHLIGHT (REPLACE IF 120 MINUTES OF ILLUMINATION CANNOT BE REACHED). [AS PER OMM, CHAP 05-10-00, CHAP 25-60]</t>
  </si>
  <si>
    <t>Amo/Success</t>
  </si>
  <si>
    <t>EMERGENCY EQUIPMENT-CHANGE BATTERIES. OPERATION CHECK - MEGAPHONE. [AS PER OMM, CHAP 05-10-00, CHAP 25-60]</t>
  </si>
  <si>
    <t>EMERGENCY EQUIPMENT-GENERAL VISUAL - CRASH AXE (EXISTING). [AS PER OMM, CHAP 05-10-00, CHAP 25-60]</t>
  </si>
  <si>
    <t>EMERGENCY EQUIPMENT -INSPECT LIFE RAFT - 10 PERSON - WITH ELT. [AS PER OMM, CHAP 05-10-00, CHAP 25-60]</t>
  </si>
  <si>
    <t>EMERGENCY EQUIPMENT -INSPECT LIFE RAFT - 10 PERSON - WITHOUT ELT [AS PER OMM, CHAP 05-10-00, CHAP 25-70]</t>
  </si>
  <si>
    <t>AIRCRAFT SECURITY SYSTEM -SECURITY SYSTEM (500C) - STANDARD SYSTEM COMPONENTS - REPLACE - SECUREPLANE BATTERY. [AS PER OMM, CHAP 05-10-00, CHAP 31-70]</t>
  </si>
  <si>
    <t>AIRCRAFT SECURITY SYSTEM -SECURITY SYSTEM (500C) - STANDARD SYSTEM COMPONENTS - CLEANING - PIR-375 SENSOR LENSES. [AS PER OMM, CHAP 05-10-00, CHAP 31-70]</t>
  </si>
  <si>
    <t>AIRCRAFT SECURITY SYSTEM -SECURITY SYSTEM (500C) - STANDARD SYSTEM COMPONENTS -LUBRICATE - KS-03 UNIT. [AS PER OMM, CHAP 05-10-00, CHAP 31-70]</t>
  </si>
  <si>
    <t>LIGHTS-VISUAL CHECK- CHARGER ASSY- EMERGENCY BATTERY PACKS LOCATED IN THE – AISLE SIDE LEDGE [AS PER OMM, CHAP 05-10-00, CHAP 33-00]</t>
  </si>
  <si>
    <t>LIGHTS-VISUAL CHECK EMERGENCY BATTERY PACKS LOCATED IN THE: CHARGER ASSY.- AISLE SIDE LEDGE. [AS PER OMM CHAP 05-10-00, CHAP 33-00]</t>
  </si>
  <si>
    <t>LIGHTS-GENERAL VISUAL CHECK- CHARGER ASSY- EMERGENCY BATTERY PACKS LOCATED IN THE - MASTER OFFICE –SIDE LEDGE. [AS PER OMM CHAP 05-10-00, CHAP 33-00]</t>
  </si>
  <si>
    <t>LIGHTS-VISUAL CHECK EMERGENCY BATTERY PACKS LOCATED IN THE: CHARGER ASSY – ENTRANCE SIDE LEDGE. [AS PER OMM, CHAP 05-10-00, CHAP 33-00]</t>
  </si>
  <si>
    <t>LIGHTS-VISUAL CHECK EMERGENCY BATTERY PACKS LOCATED IN THE: CHARGER ASSY – MASTER OFFICE – DIVAN. [AS PER OMM, CHAP 05-10-00, CHAP 33-00]</t>
  </si>
  <si>
    <t>LIGHTS-VISUAL CHECK EMERGENCY BATTERY PACKS LOCATED IN THE: CHARGER ASSY – MASTER OFFICE – SIDE LEDGE. [AS PER OMM CHAP 05-10-00, CHAP 33-00]</t>
  </si>
  <si>
    <t>LIGHTS-VISUAL CHECK EMERGENCY BATTERY PACKS LOCATED IN THE: CHARGER ASSY - .EXECUTIVE AREA – SIDEWALL RH. [AS PER OMM CHAP 05-10-00, CHAP 33-00]</t>
  </si>
  <si>
    <t>LIGHTS-DETAILED VISUAL – SELF ILLUMINATED EXIT SIGNS (REPLACE IF LESS THAN 250 MICRO LAMBERT). [AS PER OMM, CHAP 05-10-00, CHAP 33-00]</t>
  </si>
  <si>
    <t>OXYGEN SYSTEM- GENERAL VISUAL AND DROP OUT TEST – DEPLOYMENT CONTAINER – BOX DUAL CONTAINER. [AS PER OMM, CHAP 05-10-00, CHAP 35-00]</t>
  </si>
  <si>
    <t>OXYGEN SYSTEM-GENERAL VISUAL – MASK. [AS PER OMM, CHAP 05-10-00, CHAP 35-00]</t>
  </si>
  <si>
    <t>OXYGEN SYSTEM-GENERAL VISUAL - PORTABLE OXYGEN BOTTLE - MASK. (REPLACE AFTER EACH USE). [AS PER OMM CHAP 05-10-00, CHAP 35-00]</t>
  </si>
  <si>
    <t>OXYGEN SYSTEM-GENERAL VISUAL – OXYGEN OUTLET. [AS PER OMM, CHAP 05-10-00, CHAP 35-00]</t>
  </si>
  <si>
    <t>WATER/ WASTE SYSTEM -CLEANING - DRAIN VALVE ASSEMBLY WITH FILTER - MASTER BATHROOM. [AS PER OMM, CHAP 05-10-00, CHAP 38-00]</t>
  </si>
  <si>
    <t>WATER/ WASTE SYSTEM -CLEANING - DRAIN VALVE ASSEMBLY WITH FILTER - EXECUTIVE BATHROOM. [AS PER OMM, CHAP 05-10-00, CHAP 38-00]</t>
  </si>
  <si>
    <t>WATER/ WASTE SYSTEM -GENERAL VISUAL - WATER/ DRAIN LINES IN CABINETS. [AS PER OMM, CHAP 05-10-00, CHAP 38-00]</t>
  </si>
  <si>
    <t>CHECK THE LEFT WATER SEPARATOR INDICATION DISK. [AMM 21-51-05-400]</t>
  </si>
  <si>
    <t>CHECK THE RIGHT WATER SEPARATOR INDICATION DISK . [AMM 21-51-05-400]</t>
  </si>
  <si>
    <t>INSPECT AND CLEAN OR REPLACE THE LH A/C PACK COALESCER BAG [AMM REF 21-51-05-000, 21-51-05-020, 21-51-05-100 AND 21-51-05-400]</t>
  </si>
  <si>
    <t>INSPECT AND CLEAN OR REPLACE THE RH A/C PACK COALESCER BAG [AMM REF 21-51-05-000, 21-51-05-020, 21-51-05-100 AND 21-51-05-400]</t>
  </si>
  <si>
    <t>RESTORE THE MAIN AND AUXILIARY BATTERY. AIRPLANE NOTE: APPLIES TO AIRPLANES WITH DUAL BATTERY INSTALLATIONS ONLY. [AMM REF 24-31-11-000 AND 24-31-11-400]</t>
  </si>
  <si>
    <t>ANNUAL INSPECTION OF THE INFLATABLE ASSEMBLY OF THE EMERGENCY SLIDES, ACCORDING TO GOODRICH/SL/25-163R1.</t>
  </si>
  <si>
    <t>INSPECT (DETAILED) THE CAPTAIN, FIRST OFFICER, FIRST OBSERVER AND SECOND OBSERVER (IF INSTALLED) SEAT HARNESSES, CROTCH STRAPS, AND SHOULDER BELTS (AS APPLICABLE) FOR WEAR, CONDITION, AND SECURITY [AMM REF 25-11-00-200]</t>
  </si>
  <si>
    <t>INSPECT (DETAILED) THE PORTABLE HALON FIRE EXTINGUISHERS FOR PROPER PRESSURE (IF GAUGE INSTALLED), WEIGHT, AND CONDITION. INTERVAL NOTE: FOR P/N 898052 REFER TO KIDDIE AEROSPACE &amp; DEFENCE SERVICES INFORMATION LETTER 2000-3 [AMM REF 26-26-01-200]</t>
  </si>
  <si>
    <t>LUBRICATE THE STABILIZER TRIM ACTUATOR AND ACTUATOR GIMBAL PINS AND BALL NUT. [AMM REF 12-22-41-600]</t>
  </si>
  <si>
    <t>LUBRICATE THE LEFT WING TRAILING EDGE FLAP ACTUATION MECHANISM. ACCESS NOTE: FLAPS DEPLOYED [AMM REF 12-22-51-640]</t>
  </si>
  <si>
    <t>LUBRICATE THE RIGHT WING TRAILING EDGE FLAP ACTUATION MECHANISM. ACCESS NOTE: FLAPS DEPLOYED. [AMM REF 12-22-51-640]</t>
  </si>
  <si>
    <t>27-138-00-02</t>
  </si>
  <si>
    <t>OPE+B171:B284RATIONAL (BITE) THE FUEL PUMP GFI RELAY. AIRPLANE NOTE: APPLICABLE TO LINE NO 1978 AND ON. APPLICABLE TO LINE NO 1 TO 1977 INCORPORATING SB 737-28A1201. [AMM REF 28-22-41-720]</t>
  </si>
  <si>
    <t>FUNCTIONAL CHECK THE CENTER TANK FUEL BOOST PUMP POWER FAILED ON PROTECTION SYSTEM. AIRPLANE NOTE: APPLICABLE TO LINE NO 1973 AND ON. APPLICABLE TO LINE NO 1 TO 1972 INCORPORATING SB 737-28A1248. [AMM REF 28-22-00-720]</t>
  </si>
  <si>
    <t>28-056-00-01</t>
  </si>
  <si>
    <t>CENTER TANK FUEL BOOST PUMP AUTOMATIC SHUTOFF SYSTEM: FUNCTIONAL CHECK THE CENTER TANK FUEL BOOST PUMP AUTOMATIC SHUTOFF SYSTEM PER BOEING AMM 28-22-00 (AS PER SECTION 9) 28-AWL-19</t>
  </si>
  <si>
    <t>28-115-00-01</t>
  </si>
  <si>
    <t>BOOST PUMP GROUND FAULT INTERRUPTER (GFI): OPERATIONALLY CHECK THE GFI OF ALL FUEL TANK BOOST PUMP PER AMM 28-22-41 (AS PER SECTION 9) 28-AWL-20</t>
  </si>
  <si>
    <t>28-054-00-01</t>
  </si>
  <si>
    <t>CENTER FUEL TANK BOOST PUMP POWER FAILED:- VERIFY CONTINUED FUNCTIONALITY OF THE CENTER TANK BOOST PUMP POWER FAILED ON PROTECTION SYSTEM AS PER AMM 28-22-00 (AS PER SECTION 9) 28-AWL-23</t>
  </si>
  <si>
    <t>FUNCTIONALLY CHECK THE EMERGENCY LIGHTS BATTERY PACKS FOR CAPACITY (15 MIN. MINIMUM) AND ONE COMPLETE DEEP CYCLE. [AMM REF 33-51-00-200 AND 33-51-06-200]</t>
  </si>
  <si>
    <t>33-055-00-01</t>
  </si>
  <si>
    <t>LUBRICATE THE AIR STAIR DOOR SYSTEM, (INCLUDES TWO ROLLERS AND THE CARRIAGE DRIVE BALL BEARING, DRIVE NUT IN JACK SCREW, LOCK PIN GREASE FITTING AND FOUR BEARINGS IN THE CARRIAGE ROLLERS. AIRPLANE NOTE: IF AIR STAIRS SYSTEMS OR PARTIAL AIR STAIRS SYSTEMS WITH ROLLERS AND CARRIAGE DRIVE BALL INSTALLED. [AMM REF 12-25-14-600]</t>
  </si>
  <si>
    <t>52-150-00-01</t>
  </si>
  <si>
    <t>DETAILED INSPECTION OF LEFT ENGINE INLET AND FAN BLADES. [AMM REF 72-21-00-220]</t>
  </si>
  <si>
    <t>72-020-01-01</t>
  </si>
  <si>
    <t>DETAILED INSPECTION OF RIGHT ENGINE INLET AND FAN BLADES. [AMM REF 72-21-00-220]</t>
  </si>
  <si>
    <t>DISINFECT THE POTABLE WATER SYSTEM. INTERVAL NOTE: EVERY 120 DAYS OR AS REQUIRED BY THE APPLICABLE REGULATIORY AUTHORITY. [AMM REF 38-10-00-600]</t>
  </si>
  <si>
    <t>BBJ APP E-3 C1 Check</t>
  </si>
  <si>
    <t>HUMIDITY REGULATION - OVERHAUL ZONAL DRYING SYSTEM - FAN. [AS PER OMM, CHAP 05-10-00, CHAP 21-70]</t>
  </si>
  <si>
    <t>HUMIDITY REGULATION - INSPECTION AND TEST ZONAL DRYING SYSTEM - ROTOR DRIVE ASSY. [AS PER OMM, CHAP 05-10-00, CHAP 21-70]</t>
  </si>
  <si>
    <t>HUMIDITY REGULATION - INSPECTION AND TEST ZONAL DRYING SYSTEM - TEMPERATURE SENSOR. [AS PER OMM, CHAP 05-10-00, CHAP 21-70]</t>
  </si>
  <si>
    <t>HUMIDITY REGULATION - CLEANING OR REPLACEMENT ZONAL DRYING SYSTEM - ROTOR. [AS PER OMM, CHAP 05-10-00, CHAP 21-70]</t>
  </si>
  <si>
    <t>HUMIDITY REGULATION - INSPECTION/REPLACEMENT ZONAL DRYING SYSTEM - SEALS. [AS PER OMM, CHAP 05-10-00, CHAP 21-70]</t>
  </si>
  <si>
    <t>HUMIDITY REGULATION - INSPECTION/REPLACEMENT ZONAL DRYING SYSTEM - BUSHING AND BEARINGS. [AS PER OMM, CHAP 05-10-00, CHAP 21-70]</t>
  </si>
  <si>
    <t>HUMIDITY REGULATION - INSPECTION FOR CRACKS ZONAL DRYING SYSTEM - CYLINDER HOUSING. [AS PER OMM, CHAP 05-10-00, CHAP 21-70]</t>
  </si>
  <si>
    <t>HUMIDITY REGULATION - INSPECTION/REPAIR ZONAL DRYING SYSTEM - SURFACE TREATMENT. [AS PER OMM, CHAP 05-10-00, CHAP 21-70]</t>
  </si>
  <si>
    <t>HUMIDITY REGULATION - OPERATIONAL AND VISUAL CHECK: ZONAL HUMIDIFIER SYSTEM - SYSTEM CHECK. [AS PER OMM, CHAP 05-10-00, CHAP 21-70]</t>
  </si>
  <si>
    <t>GALLEY COMPLEX - DETAILED INSPECTION AFT GALLEY. [AS PER OMM, CHAP 05-10-00, CHAP 25-30]</t>
  </si>
  <si>
    <t>FIRE EXTINGUISHER - GENERAL VISUAL CHECK - FIRE EXTINGUISHER IN WASTE BINS LOCATED IN THE - CREW LAVATORY (EXISTING). [AS PER OMM, CHAP 05-10-00, CHAP 26-30</t>
  </si>
  <si>
    <t>FIRE EXTINGUISHER - GENERAL VISUAL CHECK - FIRE EXTINGUISHER IN WASTE BINS LOCATED IN THE - MASTER BATHROOM. [AS PER OMM, CHAP 05-10-00, CHAP 26-30</t>
  </si>
  <si>
    <t>FIRE EXTINGUISHER - GENERAL VISUAL CHECK - FIRE EXTINGUISHER IN WASTE BINS LOCATED IN THE - EXECUTIVE BATHROOM. [AS PER OMM, CHAP 05-10-00, CHAP 26-30]</t>
  </si>
  <si>
    <t>FIRE EXTINGUISHER - GENERAL VISUAL CHECK - FIRE EXTINGUISHER IN BACK OF THE WASTE BINS LOCATED IN THE - CREW GALLEY. [AS PER OMM, CHAP 05-10-00, CHAP 26-30]</t>
  </si>
  <si>
    <t>REPLACE INTERNAL BATTERY MODULE – POWER COMMUNICATION MODULE –SYSTEM 500C [AS PER OMM CHAP 05-10-00, CHAP 31-70]</t>
  </si>
  <si>
    <t>LIGHTS-OPERATIONAL LIFE EMERGENCY BATTERY PACKS LOCATED IN THE: - ENTRANCE SIDE LEDGE. [AS PER OMM, CHAP 05-10-00, CHAP 33-00]</t>
  </si>
  <si>
    <t>LIGHTS-OPERATIONAL LIFE EMERGENCY BATTERY PACKS LOCATED IN THE: - AISLE SIDE LEDGE. [AS PER OMM, CHAP 05-10-00, CHAP 33-00]</t>
  </si>
  <si>
    <t>LIGHTS-OPERATIONAL LIFE EMERGENCY BATTERY PACKS LOCATED IN THE: - MASTER OFFICE- DIVAN. [AS PER OMM, CHAP 05-10-00, CHAP 33-00]</t>
  </si>
  <si>
    <t>LIGHTS-OPERATIONAL LIFE EMERGENCY BATTERY PACKS LOCATED IN THE: - MASTER OFFICE- SIDE LEDGE. [AS PER OMM, CHAP 05-10-00, CHAP 33-00]</t>
  </si>
  <si>
    <t>LIGHTS-OPERATIONAL LIFE EMERGENCY BATTERY PACKS LOCATED IN THE: - EXECUTIVE AREA- SIDEWALL RH. [AS PER OMM, CHAP 05-10-00, CHAP 33-00]</t>
  </si>
  <si>
    <t>LIGHTS-OPERATIONAL LIFE EMERGENCY BATTERY PACKS LOCATED IN THE: BATTERY PACK. [AS PER OMM, CHAP 05-10-00, CHAP 33-00]</t>
  </si>
  <si>
    <t>WATER/ WASTE SYSTEM -GENERAL VISUAL AND CLEAN - POTABLE WATER TANK. [AS PER OMM, CHAP 05-10-00, CHAP 38-00]</t>
  </si>
  <si>
    <t>WATER/ WASTE SYSTEM -DRAIN PORT. [AS PER OMM, CHAP 05-20-00, CHAP 38-00]</t>
  </si>
  <si>
    <t>REPLACE THE E/E COOLING SUPPLY FAN FILTER. [AMM REF 21-27-01-400 AND 21-27-01-000]</t>
  </si>
  <si>
    <t>FUNCTIONAL CHECK PRESSURE RELIEF VALVE AND REPLACE THE POSITIVE PRESSURE RELIEF VALVE FILTERS. [AMM REF 21-32-01-700 PLUS 21-32-02-400 AND 21-32-02-000]</t>
  </si>
  <si>
    <t>CLEAN THE PRIMARY AND SECONDARY HEAT EXCHANGERS. [AMM REF 21-51-03-160]</t>
  </si>
  <si>
    <t>FUNCTIONALLY CHECK THE LOW FREQUENCY UNDERWATER LOCATOR DEVICE. [AMM REF 23-25-03-700]</t>
  </si>
  <si>
    <t>23-120-00-01</t>
  </si>
  <si>
    <t>FUNCTIONAL CHECK OF THE VOICE RECORDER FOR AUDIO FIDELITY. NOTE: OR NATIONAL REQUIREMENT. [AMM REF 23-71-00-730]</t>
  </si>
  <si>
    <t>23-050-00-01</t>
  </si>
  <si>
    <t>FUNCTIONAL CHECK OF THE EXTERNAL POWER RECEPTACLE PINS FOR EXCESSIVE WEAR. [AMM REF 24-41-11-200]</t>
  </si>
  <si>
    <t>24-130-00-01</t>
  </si>
  <si>
    <t>DETAIL INSPECTION OF THE EXTERNAL POWER RECEPTACLE PINS FOR SINGS OF OVERHEAT AND SECURITY OF INSTALLATION. [AMM REF 24-41-11-200]</t>
  </si>
  <si>
    <t>24-140-00-01</t>
  </si>
  <si>
    <t>INSPECT (GENERAL VISUAL) THE L/H AND R/H ENGINE IDG SURFACE AIR COOLED OIL COOLERS. [AMM REF 24-11-21-200]</t>
  </si>
  <si>
    <t>24-060-01-01</t>
  </si>
  <si>
    <t>INSPECT (DETAILED) THE SMOKE HOODS FOR CONDITION. [AMM REF 25-64-00-200]</t>
  </si>
  <si>
    <t xml:space="preserve"> OPEARTIONALLY CHECK DUCT LEAK OVERHEAT DETECTION WITH THE "OVHT TEST" SWITCH. [AMM REF 26-18-00-710]</t>
  </si>
  <si>
    <t>26-018-00-01</t>
  </si>
  <si>
    <t>FUNCTIONALLY CHECK THE CARGO FIRE EXTINGUISHING BOTTLE PRESSURE SWITCH. (OFF AIRCRAFT). INTERVAL NOTE: INTERVAL FOR P/N 35071500 IS 120 MONTH. ACCESS NOTE: REMOVAL OF AIR CONDITIONING DUCTING MAY BE REQUIRED. [AMM REF 26-23-01-000 AND 26-23-01-400]</t>
  </si>
  <si>
    <t>26-360-00-01</t>
  </si>
  <si>
    <t>INSPECT (DETAIL) LAVATORY WASTE COMPARTMENT FIRE EXTINGUISHING BOTTLES FOR CORRECT WEIGHT. AIRPLANE NOTE: IF INSTALLED. OPERATORS MAY ELECT TO DISCARD AND REPLACE FIRE BOTTLE IN LIEU OF WEIGHT CHECK [AMM REF 26-24-01-900] INTERVAL FOR P/N G800100-3 IS ON INSTALLATION AND EVERY 60 MONTH AFTER</t>
  </si>
  <si>
    <t>26-290-00-01</t>
  </si>
  <si>
    <t>PERFORM A DETAIL VISUAL INSPECTION OF THE LEFT WING AILERON BALANCE BAY SEALS. [AMM REF 27-11-31-210]</t>
  </si>
  <si>
    <t>27-034-01-01</t>
  </si>
  <si>
    <t>PERFORM A DETAIL VISUAL INSPECTION OF THE RIGHT WING AILERON BALANCE BAY SEALS. [AMM REF 27-11-31-210]</t>
  </si>
  <si>
    <t>27-034-02-01</t>
  </si>
  <si>
    <t>PERFORM A DETAILED VISUAL INSPECTION OF ALL EXPOSED PORTIONS OF THE FLIGHT CONTROL CABLE RUNS. ACCESS NOTE: EXTEND FLAPS. [AMM REF 20-20-31-200]</t>
  </si>
  <si>
    <t>INSPECT (DETAILED) NOSE LANDING GEAR AXLE. [AMM REF 32-21-71-200]</t>
  </si>
  <si>
    <t>PERFORM A FUNCTIONAL CHECK OF THE NOSE LANDING GEAR MANUAL EXTENSION SYSTEM. [AMM REF 32-35-00-730]</t>
  </si>
  <si>
    <t>PERFORM A FUNCTIONAL CHECK OF THE LEFT AND RIGHT MAIN LANDING GEAR MANUAL EXTENSION SYSTEM AND ALTERNATE EXTENSION BYPASS VALVE. [AMM REF 32-34-00-730]</t>
  </si>
  <si>
    <t>PERFORM A DETAIL VISUAL INSPECTION OF THE EXPOSED PORTIONS OF THE LANDING GEAR SYSTEM CONTROL CABLES. ACCESS NOTE: NLG COVERS P/N 273A4520-1 OR 273A4520-2 NEED TO BE REMOVED TO PERFORM THIS TASK. [AMM REF 20-20-31-200]</t>
  </si>
  <si>
    <t>32-440-00-01</t>
  </si>
  <si>
    <t>PERFORM AN EXTERNAL ZONAL INSPECTION (GV) OF THE LEFT MAIN LANDING GEAR AND LANDING GEAR DOORS. INTERVAL NOTE: THE EZAP INSPECTION REQUIREMENT WITH INTERVAL 5500:CYCLESL/30:MOS IS SATISFIED BY THIS ZONAL INSPECTION [AMM REF 05-41-07-210]</t>
  </si>
  <si>
    <t>32-806-01-1</t>
  </si>
  <si>
    <t>PERFORM AN EXTERNAL ZONAL INSPECTION (GV) OF THE RIGHT MAIN LANDING GEAR AND LANDING GEAR DOORS. INTERVAL NOTE: THE EZAP INSPECTION REQUIREMENT WITH INTERVAL 5500:CYCLES/30 MOS IS SATISFIED BY THIS ZONAL INSPECTION [AMM REF 05-41-07-210]</t>
  </si>
  <si>
    <t>32-810-02-01</t>
  </si>
  <si>
    <t>OPERATIONALLY CHECK FORWARD GRAY WATER DRAIN VALVE. AIRPLANE NOTE: APPLICABLE TO AIRPLANE FITTED WITH FORWARD GRAY WATER DRAIN VALVE INSTALLED. [AMM REF38-31-00-790]</t>
  </si>
  <si>
    <t>38-015-00-01</t>
  </si>
  <si>
    <t xml:space="preserve"> PERFORM A GENERAL VISUAL INSPECTION OF THE APU MOUNTS FOR GENERAL CONDITION AND SECURITY OF INSTALLATION. [AMM REF49-13-11-200]</t>
  </si>
  <si>
    <t>49-010-00-01</t>
  </si>
  <si>
    <t>INSPECT (DETAILED) THE FORWARD ENTRY DOOR CENTERING GUIDE STUD AND NYLON TRACK PADS FOR CONDITION. [AMM REF 52-11-00-200]</t>
  </si>
  <si>
    <t>52-030-00-01</t>
  </si>
  <si>
    <t>INSPECT (DETAILED) THE AFT ENTRY AND THE AFT AND FWD SERVICE DOOR CENTERING GUIDE BEARINGS (3 DOORS ONLY FOR CONDITION). INTERVAL NOTE: SOME BBJ SERVICE DOORS HAVE BEEN DE-ACTIVATED (PER INTERIOR COMPLETION STC) AND CANNOT BE OPENED FROM THE OUTSIDE. FOR DE-ACTIVATED DOORS THE INTERVAL IS 8/6 YEARS. [AMM REF 52-41-00-200 AND 52-13-00-200]</t>
  </si>
  <si>
    <t>52-040-00-01</t>
  </si>
  <si>
    <t>INSPECT (GENERAL VISUAL) THE ENTRY AND SERVICE DOOR PRESSURE SEAL (ALL 4 DOORS) AND THE FORWARD ENTRY DOOR FLAPPER SEAL FOR DEGRADATION. INTERVAL NOTE: SOME BBJ EXIT DOORS HAVE BEEN DE-ACTIVATED (PER INTERIOR COMPLETION STC) AND CANNOT BE OPENED FROM THE OUTSIDE. FOR DE-ACTIVATED DOORS, THE INTERVAL IS 8 YEARS. [AMM REF 52-11-00-200, 52-13-00-200 AND 52-41-00-200]</t>
  </si>
  <si>
    <t>52-050-00-01</t>
  </si>
  <si>
    <t>EXTERNAL - DETAILED: FORWARD ACCESS DOOR INSPECT FORWARD ACCESS DOOR STOP FITTINGS AND PINS. ACCESS NOTE: INSPECT WITH DOOR OPENED. LINING NOT REMOVED. [AMM REF 51-05-01-210 &amp; 52-05-03-211]</t>
  </si>
  <si>
    <t>52-510-00-01</t>
  </si>
  <si>
    <t>EXTERNAL - DETAILED E/E EQUIPMENT COMPARTMENT ACCESS DOOR INSPECT E/E EQUIPMENT COMPARTMENT ACCESS DOOR STOP FITTINGS AND PINS. ACCESS NOTE: INSPECT WITH DOOR REMOVED AS REQUIRED. [AMM REF 51-05-01-210 &amp; 52-05-03-210]</t>
  </si>
  <si>
    <t>52-540-00-01</t>
  </si>
  <si>
    <t xml:space="preserve"> EXTERNAL - DETAILED: FORWARD AIR STAIRS DOOR INSPECT FORWARD AIR STAIRS DOOR STOP FITTINGS AND PINS. ACCESS NOTE: INSPECT WITH DOOR BOTH OPENED AND CLOSED. [AMM REF 51-05-01-210 &amp; 52-05-03-211]</t>
  </si>
  <si>
    <t>52-580-00-01</t>
  </si>
  <si>
    <t>EXTERNAL - GENERAL VISUAL: FORWARD AIR STAIRS DOOR INSPECT FORWARD AIR STAIRS ACCESS DOOR SKIN AND STRUCTURE. ACCESS NOTE: INSPECT WITH DOOR BOTH OPENED AND CLOSED. [AMM REF 51-05-01-210 &amp; 52-05-03-210]</t>
  </si>
  <si>
    <t>52-590-00-01</t>
  </si>
  <si>
    <t>EXTERNAL – DETAILED: FORWARD ENTRY AND GALLEY SERVICE DOORS INSPECT FORWARD AND AFT ENTRY AND GALLEY SERVICE DOOR STOP FITTINGS AND PINS. ACCESS NOTE: INSPECT WITH DOORS OPEN AND LINING NOT REMOVED. [AMM REF 51-05-01-210 &amp; 52-05-03-211]</t>
  </si>
  <si>
    <t>52-610-00-01</t>
  </si>
  <si>
    <t>EXTERNAL - DETAILED: CARGO DOORS INSPECT FORWARD AND AFT CARGO DOOR STOP FITTINGS AND PINS. ACCESS NOTE: INSPECT WITH DOORS OPENED. LINING NOT REMOVED [AMM REF 51-05-01-210 &amp; 52-05-03-211]</t>
  </si>
  <si>
    <t>52-670-00-01</t>
  </si>
  <si>
    <t>EXTERNAL - DETAILED: AUTOMATIC OVER WING EXIT DOOR, DOOR STOP FITTINGS AND PINS. ACCESS NOTE: INSPECT WITH DOORS OPENED AND LINING NOT REMOVED. INTERVAL NOTE: SOME BBJ EXIT DOORS HAVE BEEN DE-ACTIVATED (PER INTERIOR COMPLETION STC) AND CANNOT BE OPENED FROM THE OUTSIDE. FOR DE-ACTIVATED DOORS, THE INTERVAL IS 8 YEARS. [AMM REF 51-05-01-210 &amp; 52-05-03-211]</t>
  </si>
  <si>
    <t>52-730-00-01</t>
  </si>
  <si>
    <t>PERFORM AN INTERNAL ZONAL INSPECTION (GV) OF THE FORWARD CARGO DOOR - SECTION 43, STA 460. [AMM REF 05-41-08-210]</t>
  </si>
  <si>
    <t>52-802-02-01</t>
  </si>
  <si>
    <t>PERFORM AN INTERNAL ZONAL INSPECTION (GV) OF THE AFT CARGO DOOR - SECTION 46, STA 827. [AMM REF 05-41-08-210]</t>
  </si>
  <si>
    <t>52-806-02-01</t>
  </si>
  <si>
    <t>PERFORM AN INTERNAL ZONAL INSPECTION (GV) OF THE FORWARD PASSENGER DOOR - SECTION 41, STA 345. [AMM REF 05-41-08-210]</t>
  </si>
  <si>
    <t>52-812-01-01</t>
  </si>
  <si>
    <t>EXTERNAL-ZONAL (GV): AUTOMATIC OVERWING EXIT PERFORM AN EXTERNAL ZONAL INSPECTION (GV) OF THE AUTOMATIC OVERWING EXIT – SECTION 44, STA 589.5. INTERVAL NOTE: SOME BBJ EXIT DOORS HAVE BEEN DE-ACTIVATED (PER INTERIOR COMPLETION STC) AND CANNOT BE OPENED FROM THE OUTSIDE FOR DE-ACTIVATED DOORS, THE INTERVAL IS 8 YEARS. [AMM REF 05-41-08-210]</t>
  </si>
  <si>
    <t>52-832-01-01</t>
  </si>
  <si>
    <t>PERFORM AN EXTERNAL ZONAL INSPECTION (GV) OF THE AUTOMATIC OVER WING EXIT – SECTION 44, STA 627. INTERVAL NOTE: SOME BBJ EXIT DOORS HAVE BEEN DE-ACTIVATED (PER INTERIOR COMPLETION STC) AND CANNOT BE OPENED FROM THE OUTSIDE. FOR DE-ACTIVATED DOORS, THE INTERVAL IS 8 YEARS. [AMM REF 05-41-08-210]</t>
  </si>
  <si>
    <t>52-834-02-01</t>
  </si>
  <si>
    <t>PERFORM AN INTERNAL ZONAL INSPECTION (GV) OF THE AFT PASSENGER DOOR – SECTION 47, STA 980. INTERVAL NOTE: SOME BBJ EXIT DOORS HAVE BEEN DE-ACTIVATED (PER INTERIOR COMPLETION STC) AND CANNOT BE OPENED FROM THE OUTSIDE. FOR DE-ACTIVATED DOORS, THE INTERVAL IS 8 YEARS. [AMM REF 05-41-08-210]</t>
  </si>
  <si>
    <t>52-824-01-01</t>
  </si>
  <si>
    <t>EXTERNAL - ZONAL (GV): FORWARD GALLEY SERVICE DOOR PERFORM AN EXTERNAL ZONAL INSPECTION (GV) OF THE FORWARD GALLEY SERVICE DOOR - SECTION 41, STA 340. INTERVAL NOTE: SOME BBJ SERVICE DOORS HAVE BEEN DE-ACTIVATED (PER INTERIOR COMPLETION STC) AND CANNOT BE OPENED FROM THE OUTSIDE. FOR DEACTIVATED DOORS, THE INTERVAL IS 8 YEARS. [AMM REF 05-41-08-210]</t>
  </si>
  <si>
    <t>52-826-02-01</t>
  </si>
  <si>
    <t>INTERNAL - ZONAL (GV): FORWARD GALLEY SERVICE DOOR PERFORM AN INTERNAL ZONAL INSPECTION (GV) OF THE FORWARD GALLEY SERVICE DOOR - SECTION 41, STA 340. INTERVAL NOTE: SOME BBJ SERVICE DOORS HAVE BEEN DE-ACTIVATED (PER INTERIOR COMPLETION STC) AND CANNOT BE OPENED FROM THE OUTSIDE. FOR DEACTIVATED DOORS, THE INTERVAL IS 8 YEARS. [AMM REF 05-41-08-210]</t>
  </si>
  <si>
    <t>52-828-02-01</t>
  </si>
  <si>
    <t>EXTERNAL - ZONAL (GV): AUTOMATIC OVERWING EXIT PERFORM AN EXTERNAL ZONAL INSPECTION (GV) OF THE AUTOMATIC OVERWING EXIT - SECTION 44, STA 627. INTERVAL NOTE: SOME BBJ EXIT DOORS HAVE BEEN DE-ACTIVATED (PER INTERIOR COMPLETION STC) AND CANNOT BE OPENED FROM THE OUTSIDE. FOR DE-ACTIVATED DOORS, THE INTERVAL IS 8 YEARS. [AMM REF 05-41-08-210]</t>
  </si>
  <si>
    <t>52-818-01-01</t>
  </si>
  <si>
    <t>EXTERNAL - ZONAL (GV): AFT GALLEY SERVICE DOOR PERFORM AN EXTERNAL ZONAL INSPECTION (GV) OF THE AFT GALLEY SERVICE DOOR -SECTION 47, STA 980. INTERVAL NOTE: SOME BBJ SERVICE DOORS HAVE BEEN DE-ACTIVATED (PER INTERIOR COMPLETION STC) AND CANNOT BE OPENED FROM THE OUTSIDE. FOR DE-ACTIVATED DOORS THE INTERVAL IS 8YEARS. [AMM REF 05-41-08-210]</t>
  </si>
  <si>
    <t>52-838-02-01</t>
  </si>
  <si>
    <t>PERFORM AN EXTERNAL ZONAL INSPECTION (GV) OF THE AFT GALLEY SERVICE DOOR – SECTION 47, STA 980. INTERVAL NOTE: SOME BBJ EXIT DOORS HAVE BEEN DE-ACTIVATED (PER INTERIOR COMPLETION STC) AND CANNOT BE OPENED FROM THE OUTSIDE. FOR DE-ACTIVATED DOORS, THE INTERVAL IS 8 YEARS. [AMM REF 05-41-08-210]</t>
  </si>
  <si>
    <t>52-840-02-01</t>
  </si>
  <si>
    <t>EXTERNAL - DETAILED: INSPECT FORWARD AND AFT CARGO DOOR SURROUND STRUCTURE FITTINGS AND STOPS. [AMM REF 51-05-01-210 &amp; 52-05-03-211]</t>
  </si>
  <si>
    <t>53-030-00-01</t>
  </si>
  <si>
    <t>EXTERNAL - DETAILED: FUSELAGE UPPER LOBE FRAMES, DOOR STOPS, LATCHES AND HINGES. INSPECT DOOR FRAMES, DOOR STOPS, LATCHES AND HINGES ON FORWARD ENTRY CUTOUT SURROUND STRUCTURES. ACCESS NOTE: OPEN FORWARD ENTRY, DOOR GALLEY SERIVE DOOR, AFT ENTRY DOOR. AND GALLEY DOORS. [AMM REF 51-05-01-210 &amp; 53-05-03-211]</t>
  </si>
  <si>
    <t>PERFORM AN INTERNAL ZONAL INSPECTION (GV) OF THE RADOME.[AMM REF 05-41-01-210]</t>
  </si>
  <si>
    <t>53-802-00-01</t>
  </si>
  <si>
    <t>PERFORM AN INTERNAL ZONAL INSPECTION (GV) OF THE AREA FORWARD OF THE NOSE WHEEL WELL - SECTION 41, STA 178 TO STA 224.8. INTERVAL NOTE: THE EZAP INSPECTION REQUIREMENT WITH INTERVAL 36000:AFL/12:YRS IS SATISFIED BY THIS ZONAL INSPECTION [AMM REF 05-41-01-210]</t>
  </si>
  <si>
    <t>53-804-00-01</t>
  </si>
  <si>
    <t>PERFORM AN INTERNAL ZONAL INSPECTION (GV) OF THE AREA ABOVE AND OUTBOARD OF THE NOSE WHEEL WELL. INTERVAL NOTE: THE EZAP INSPECTION REQUIREMENT WITH INTERVAL 36000:AFL/12:YRS IS SATISFIED BY THIS ZONAL INSPECTION [AMM REF 05-41-01-210]</t>
  </si>
  <si>
    <t>53-806-00-01</t>
  </si>
  <si>
    <t>PERFORM AN INTERNAL ZONAL INSPECTION (GV) OF THE ELECTRICAL AND ELECTRONICS COMPARTMENT. ACCESS NOTE: FORWARD AIR STAIR DRIP PAN ACCESS PANEL MUST BE REMOVED IF AIR STAIR INSTALLED. INTERVAL NOTE: THE EZAP INSPECTION REQUIREMENT WITH INTERVAL 18000:AFL/6:YRS IS SATISFIED BY THIS ZONAL INSPECTION) [AMM REF 05-41-01-210]</t>
  </si>
  <si>
    <t>53-808-00-01</t>
  </si>
  <si>
    <t>PERFORM AN INTERNAL ZONAL INSPECTION (GV) OF THE ELECTRICAL AND ELECTRONICS COMPARTMENT ACCESS DOOR [AMM 05-41-01-210]</t>
  </si>
  <si>
    <t>53-810-00-01</t>
  </si>
  <si>
    <t>PERFORM AN EXTERNAL ZONAL INSPECTION (GV) OF THE FORWARD CARGO DOOR SURROUND FITTINGS AND STOPS - SECTION 43, STA 460. [AMM REF 05-41-01-210]</t>
  </si>
  <si>
    <t>53-818-00-01</t>
  </si>
  <si>
    <t>INTERNAL - ZONAL (GV): KEEL BEAM (PART) STA 540 TO 727 PERFORM AN INTERNAL ZONAL INSPECTION (GV) OF THE KEEL BEAM (PART) STA 540 TO 727 - SECTION 44. INTERVAL NOTE: THE EZAP INSPECTION REQUIREMENT WITH INTERVAL 36000:AFL/12:YRS IS SATISFIED BY THIS ZONAL INSPECTION. [AMM REF 05-41-01-210]</t>
  </si>
  <si>
    <t>53-828-00-01</t>
  </si>
  <si>
    <t>PERFORM AN EXTERNAL ZONAL INSPECTION (GV) OF THE AFT CARGO DOOR FITTINGS AND STOPS - SECTION 46, STA 827 [AMM REF 05-41-01-210]</t>
  </si>
  <si>
    <t>53-836-00-01</t>
  </si>
  <si>
    <t>INTERNAL - ZONAL (GV): AFT CARGO COMPARTMENT VACUUM WASTE COMPARTMENT PERFORM AN INTERNAL ZONAL INSPECTION (GV) OF THE AFT CARGO COMPARTMENT VACUUM WASTE COMPARTMENT. ACCESS NOTE: VACUUM WASTE COMPARTMENT PANELS REMOVAL REQUIRED. [AMM REF 05-41-01-210]</t>
  </si>
  <si>
    <t>53-838-00-01</t>
  </si>
  <si>
    <t>PERFORM AN INTERNAL ZONAL INSPECTION (GV) OF THE AFT CARGO COMPARTMENT EQUIPMENT BAY- SECTION 47, STA 947.5 TO AFT PRESSURE BULKHEAD. ACCESS NOTE: AFT CARGO PANELS AT 947 BULKHEAD REMOVAL REQUIRED. INTERVAL NOTE: THE EZAP INSPECTION REQUIREMENT WITH INTERVAL 18000:AFL/6:YRS IS SATISFIED BY THIS ZONAL INSPECTION [AMM REF 05-41-01-210]</t>
  </si>
  <si>
    <t>53-842-00-01</t>
  </si>
  <si>
    <t>PERFORM AN INTERNAL ZONAL INSPECTION (GV) OF THE LOWER WING TO BODY FAIRING - FORWARD OF WING BOX. ACCESS NOTE: THROUGH ACCESS PROVIDED. (EZAP) [AMM REF 04-51-01-210]</t>
  </si>
  <si>
    <t>53-846-00-01</t>
  </si>
  <si>
    <t>PERFORM AN INTERNAL ZONAL INSPECTION (GV) OF THE LOWER WING TO BODY FAIRING - UNDER THE WING BOX. (EZAP) ACCESS NOTE: THROUGH ACCESS PROVIDED. [AMM REF 05-41-01-210]</t>
  </si>
  <si>
    <t>Kukudi</t>
  </si>
  <si>
    <t>53-848-00-01</t>
  </si>
  <si>
    <t>PERFORM AN INTERNAL ZONAL INSPECTION (GV) OF THE LOWER WING TO BODY FAIRING - AFT OF WHEEL WELL. ACCESS NOTE: THROUGH ACCESS PROVIDED. [AMM REF 05-41-01-210]</t>
  </si>
  <si>
    <t>53-850-00-01</t>
  </si>
  <si>
    <t>PERFORM AN EXTERNAL ZONAL INSPECTION (GV) OF THE FLIGHT CONTROL COMPARTMENT - SECTION 41, STA 178 TO STA 259.5 [AMM REF 05-41-01-210]</t>
  </si>
  <si>
    <t>INTERNAL - ZONAL (GV): FLIGHT CONTROL COMPARTMENT PERFORM AN INTERNAL ZONAL INSPECTION (GV) OF THE FLIGHT CONTROL COMPARTMENT - SECTION 41, STA 178 TO STA 270. ACCESS NOTE: CONTROL STAND ACCESS PANELS REMOVAL REQUIRED. [AMM REF 05-41-02-210]</t>
  </si>
  <si>
    <t>53-862-00-01</t>
  </si>
  <si>
    <t>PERFORM AN EXTERNAL ZONAL INSPECTION (GV) OF THE PASSENGER COMPARTMENT - AFT OF THE CONTROL COMPARTMENT TO FORWARD ENTRY DOOR - LEFT AND RIGHT - SECTION 41, STA 259.5 TO STA 360. [AMM REF 05-41-02-210]</t>
  </si>
  <si>
    <t>53-864-00-01</t>
  </si>
  <si>
    <t>INTERNAL - ZONAL (GV): PASSENGER COMPARTMENT SECTION, STA 270 TO STA 360 PERFORM AN INTERNAL ZONAL INSPECTION (GV) OF THE PASSENGER COMPARTMENT - LEFT AND RIGHT - SECTION 41, STA 270 TO STA 360. [AMM REF 05-41-02-210] CORRECTION</t>
  </si>
  <si>
    <t>53-866-00-01</t>
  </si>
  <si>
    <t>PERFORM AN EXTERNAL ZONAL INSPECTION (GV) OF THE FORWARD PASSENGER ENTRY DOOR STOPS, LATCHES, AND HINGES - SECTION 41, STA 345. [AMM REF 05-41-02-210]</t>
  </si>
  <si>
    <t>53-870-00-01</t>
  </si>
  <si>
    <t>PERFORM AN EXTERNAL ZONAL INSPECTION (GV) OF THE FORWARD GALLEY. NOTE: INTERVAL 8 YRS FOR DEACTIVATED DOORS [AMM REF 05-41-02-210]</t>
  </si>
  <si>
    <t>PERFORM AN EXTERNAL ZONAL INSPECTION (GV) OF THE FORWARD PASSENGER COMPARTMENT - STA 360 TO STA 663.75 - LEFT AND RIGHT - SECTION 43 AND 44 (PART). [AMM REF 05-41-02-210]</t>
  </si>
  <si>
    <t>53-874-00-01</t>
  </si>
  <si>
    <t>PERFORM AN INTERNAL ZONAL INSPECTION OF THE FORWARD PASSENGER COMPARTMENT - STA 360 TO STA 663.75 - LEFT AND RIGHT - SECTION 43 AND 44 (PART). [AMM REF 05-41-02-210]</t>
  </si>
  <si>
    <t>53-876-00-01</t>
  </si>
  <si>
    <t>PERFORM AN EXTERNAL ZONAL INSPECTION (GV) OF THE AFT PASSENGER COMPARTMENT - STA 663.75 TO THE AFT PRESSURE BULKHEAD - LEFT AND RIGHT - SECTION 44 (PART), 46, AND 47, STA 663.75 TO AFT PRESSURE BULKHEAD. [AMM REF 05-41-02-210]</t>
  </si>
  <si>
    <t>53-882-00-01</t>
  </si>
  <si>
    <t>PERFORM AN EXTERNAL ZONAL INSPECTION (GV) OF THE AFT PASSENGER ENTRY DOOR STOPS, LATCHES, AND HINGES – SECTION 47, STA 980. INTERVAL NOTE: SOME BBJ SERVICE DOORS HAVE BEEN DE-ACTIVATED (PER STC) AND CANNOT BE OPENED FROM OUTSIDE. FOR DE-ACTIVATED DOORS THE INTERVAL IS 8 YEARS. [AMM REF 05-41-02-210]</t>
  </si>
  <si>
    <t>53-890-00-01</t>
  </si>
  <si>
    <t>PERFORM AN INTERNAL ZONAL INSPECTION (GV) OF THE AFT PASSENGER COMPARTMENT -– STA 663.75 TO THE AFT PRESSURE BULKHEAD WET AREA (WITHIN APPROXIMATELY 20 INCHES FROM GALLEY SERVICE DOOR, PASSENGER DOOR, GALLEY OR LAV) -– LEFT AND RIGHT -– SECTION 44 (PART), 46, AND 47, STA 663.75 TO STA AFT PRESSURE BULKHEAD. [AMM REF 05-41-02-210]</t>
  </si>
  <si>
    <t>53-886-00-01</t>
  </si>
  <si>
    <t>PERFORM AN EXTERNAL ZONAL INSPECTION (GV) OF THE AFT GALLEY SERVICE DOOR STOPS, LATCHES, AND HINGES – SECTION 47, STA 980. INTERVAL NOTE: SOME BBJ SERVICE DOORS HAVE BEEN DE-ACTIVATED (PER STC) AND CANNOT BE OPENED FROM OUTSIDE. FOR DE-ACTIVATED DOORS THE INTERVAL IS 8 YEARS. [AMM REF 05-41-02-210]</t>
  </si>
  <si>
    <t>53-892-00-01</t>
  </si>
  <si>
    <t>PERFORM AN INTERNAL ZONAL INSPECTION (GV) OF THE AREA AFT OF PRESSURE BULKHEAD - SECTION 48, AFT OF AFT PRESSURE BULKHEAD TO STA 1088. INTERVAL NOTE: THE EZAP INSPECTION REQUIREMENT WITH INTERVAL 36000:AFL/12:YRS IS SATISFIED BY THIS ZONAL INSPECTION [AMM REF 05-41-03-210]</t>
  </si>
  <si>
    <t>53-896-00-01</t>
  </si>
  <si>
    <t>PERFORM AN INTERNAL ZONAL INSPECTION (GV) OF THE STABILIZER TORSION BOX COMPARTMENT - SECTION 48, STA 1088 TO STA 1156. INTERVAL NOTE: THE EZAP INSPECTION REQUIREMENT WITH INTERVAL 36000:AFL/12:YRS IS SATISFIED BY THIS ZONAL INSPECTION [AMM REF 05-41-03-210]</t>
  </si>
  <si>
    <t>53-898-00-01</t>
  </si>
  <si>
    <t>PERFORM AN INTERNAL ZONAL INSPECTION (GV) OF THE TAIL CONE - SECTION 48, STA 1156 TO STA 1217. INTERVAL NOTE: THE EZAP INSPECTION REQUIREMENT WITH INTERVAL 18000:AFL/6:YRS IS SATISFIED BY THIS ZONAL INSPECTION [AMM REF 05-41-03-210]</t>
  </si>
  <si>
    <t>53-902-00-01/ 53-440-00-01</t>
  </si>
  <si>
    <t xml:space="preserve"> INTERNAL - GENERAL VISUAL: LEFT STRUT TO WING ATTACHMENTS INSPECT STRUT TO WING UPPER LINK, DIAGONAL BRACE, SIDE LINKS, AND STRUT ATTACHMENT FITTINGS. [AMM REF 51-05-01-210 AND 54-05-03-210]</t>
  </si>
  <si>
    <t>54-040-01-01</t>
  </si>
  <si>
    <t>INTERNAL - GENERAL VISUAL: RIGHT STRUT TO WING ATTACHMENTS INSPECT STRUT TO WING UPPER LINK, DIAGONAL BRACE, SIDE LINKS, AND STRUT ATTACHMENT FITTINGS. [AMM REF 51-01-01-210 AND 54-05-03-210]</t>
  </si>
  <si>
    <t>54-040-02-01</t>
  </si>
  <si>
    <t>INTERNAL - DETAILED: LEFT STRUT TO WING ATTACHMENTS INSPECT PINS AND FUSE PINS ON UPPER LINK, MID SPAR, DIAGONAL BRACE, AND SIDE LINKS. PIN REMOVAL IS NOT REQUIRED. [AMM REF 51-01-01-210 AND 54-05-03-211]</t>
  </si>
  <si>
    <t>54-050-01-01</t>
  </si>
  <si>
    <t>INTERNAL - DETAILED: RIGHT STRUT TO WING ATTACHMENTS INSPECT PINS AND FUSE PINS ON UPPER LINK, MID SPAR, DIAGONAL BRACE, AND SIDE LINKS. PIN REMOVAL IS NOT REQUIRED. [AMM REF 51-01-01-210 AND 54-05-03-211]</t>
  </si>
  <si>
    <t>54-050-02-01</t>
  </si>
  <si>
    <t>FUNCTIONALLY CHECK THE LEFT ENGINE FORWARD STRUT AND AFT STRUT FAIRING DRAINS. INTERVAL NOTE: [AMM REF 54-55-01-720 AND 54-55-02-100]</t>
  </si>
  <si>
    <t>54-090-01-01</t>
  </si>
  <si>
    <t>FUNCTIONALLY CHECK THE RIGHT ENGINE FORWARD STRUT AND AFT STRUT FAIRING DRAINS. INTERVAL NOTE: [AMM 54-55-01-720 AND 54-55-02-100]</t>
  </si>
  <si>
    <t>PERFORM AN INTERNAL ZONAL INSPECTION (GV) OF THE FORWARD STRUT FAIRING - ENGINE NO. 1. (EZAP) INTERVAL NOTE: THE EZAP INSPECTION REQUIREMENT WITH INTERVAL 18000FC/6 YR IS SATISFIED BY THIS ZONAL INSPECTION [AMM REF 05-41-04-210]</t>
  </si>
  <si>
    <t>54-800-01-01</t>
  </si>
  <si>
    <t>PERFORM AN INTERNAL ZONAL INSPECTION (GV) ON THE FAN COWL SUPPORT BEAM - ENGINE NO. 1. INTERVAL NOTE: THE EZAP INSPECTION REQUIREMENT WITH INTERVAL 18000FC/6 YR IS SATISFIED BY THIS ZONAL INSPECTION (EZAP) [AMM REF 05-41-04-210]</t>
  </si>
  <si>
    <t>54-802-01-01</t>
  </si>
  <si>
    <t>PERFORM AN INTERNAL ZONAL INSPECTION (GV) OF THE STRUT TORQUE BOX - ENGINE NO. 1. INTERVAL NOTE: THE EZAP INSPECTION REQUIREMENT WITH INTERVAL 18000FC/6 YR IS SATISFIED BY THIS ZONAL INSPECTION [AMM REF 05-41-04-210]</t>
  </si>
  <si>
    <t>54-804-01-01</t>
  </si>
  <si>
    <t>PERFORM AN INTERNAL ZONAL INSPECTION (GV) OF THE AFT STRUT FAIRING - ENGINE NO. 1. INTERVAL NOTE: THE EZAP INSPECTION REQUIREMENT WITH INTERVAL 12000FC/4 YR IS SATISFIED BY THIS ZONAL INSPECTION [AMM REF 05-41-04-210]</t>
  </si>
  <si>
    <t>54-806-01-01</t>
  </si>
  <si>
    <t>PERFORM AN INTERNAL ZONAL INSPECTION (GV) OF THE FORWARD STRUT FAIRING - ENGINE NO. 2. INTERVAL NOTE: THE EZAP INSPECTION REQUIREMENT WITH INTERVAL 18000FC/6 YR IS SATISFIED BY THIS ZONAL INSPECTION [AMM REF 05-41-04-210]</t>
  </si>
  <si>
    <t>54-808-02-01</t>
  </si>
  <si>
    <t>PERFORM AN INTERNAL ZONAL INSPECTION (GV) OF THE FAN COWL SUPPORT BEAM - ENGINE NO. 2. INTERVAL NOTE: THE EZAP INSPECTION REQUIREMENT WITH INTERVAL 18000FC/6 YR IS SATISFIED BY THIS ZONAL INSPECTION [AMM REF 05-41-04-210]</t>
  </si>
  <si>
    <t>54-810-02-01</t>
  </si>
  <si>
    <t>PERFORM AN INTERNAL ZONAL INSPECTION (GV) OF THE STRUT TORQUE BOX – ENGINE NO. 2. INTERVAL NOTE: THE EZAP INSPECTION REQUIREMENT WITH INTERVAL 18000FC/6 YR IS SATISFIED BY THIS ZONAL INSPECTION [AMM REF 05-41-04-210]</t>
  </si>
  <si>
    <t>54-812-02-01</t>
  </si>
  <si>
    <t xml:space="preserve"> PERFORM AN INTERNAL ZONAL INSPECTION (GV) OF THE AFT STRUT FAIRING - ENGINE NO. 2. INTERVAL NOTE: THE EZAP INSPECTION REQUIREMENT WITH INTERVAL 12000FC/4 YR IS SATISFIED BY THIS ZONAL INSPECTION [AMM REF 05-41-04-210]</t>
  </si>
  <si>
    <t>54-814-02-01</t>
  </si>
  <si>
    <t>INTERNAL - GENERAL VISUAL: LEFT HORIZONTAL STABILIZER TRAILING EDGE INSPECT LEFT HORIZONTAL STABILIZER REAR SPAR TERMINAL FITTINGS AND CENTER SECTION REAR SPAR LUGS. ACCESS NOTE: REMOVE GAP SEALS. BOLT REMOVAL IS NOT REQUIRED. [AMM REF 51-05-01-210 AND 55-05-03-210]</t>
  </si>
  <si>
    <t>55-120-01-01</t>
  </si>
  <si>
    <t>INTERNAL - GENERAL VISUAL: RIGHT HORIZONTAL STABILIZER TRAILING EDGE INSPECT RIGHT HORIZONTAL STABILIZER REAR SPAR TERMINAL FITTINGS AND CENTER SECTION REAR SPAR LUGS. ACCESS NOTE: REMOVE GAP SEALS. BOLT REMOVAL IS NOT REQUIRED. [AMM REF 51-05-01-210 AND 55-05-03-210]</t>
  </si>
  <si>
    <t>55-120-02-01</t>
  </si>
  <si>
    <t>INTERNAL - GENERAL VISUAL: LEFT HORIZONTAL STABILIZER LEADING EDGE INSPECT LEFT HORIZONTAL STABILIZER FRONT SPAR TERMINAL FITTINGS AND CENTER SECTION FRONT SPAR LUGS. ACCESS NOTE: REMOVE GAP SEALS. BOLT REMOVAL IS NOT REQUIRED. [AMM REF 51-05-01-210 AND 55-05-03-210]</t>
  </si>
  <si>
    <t>55-080-01-01</t>
  </si>
  <si>
    <t>55-080-02-01</t>
  </si>
  <si>
    <t>PERFORM AN EXTERNAL ZONAL INSPECTION (GV) OF THE VERTICAL FIN - DORSAL FIN. [AMM REF 05-41-03-210]</t>
  </si>
  <si>
    <t>22 dec 20225</t>
  </si>
  <si>
    <t>55-802-00-01</t>
  </si>
  <si>
    <t>PERFORM AN INTERNAL ZONAL INSPECTION (GV) OF THE VERTICAL FIN - LEADING EDGE. AIRPLANE NOTE: ONLY IF HF SYSTEM INSTALLED. [AMM REF 05-41-03-210]</t>
  </si>
  <si>
    <t>55-804-00-01</t>
  </si>
  <si>
    <t>PERFORM AN EXTERNAL ZONAL INSPECTION (GV) OF THE VERTICAL FIN - LEADING EDGE. [AMM REF 05-41-03-210]</t>
  </si>
  <si>
    <t>55-806-00-01</t>
  </si>
  <si>
    <t>PERFORM AN INTERNAL ZONAL INSPECTION (GV) OF THE VERTICAL FIN - FRONT SPAR TO REAR SPAR. INTERVAL NOTE: THE EZAP INSPECTION REQUIREMENT WITH INTERVAL 36000:AFL/12:YRS IS SATISFIED BY THIS ZONAL INSPECTION [AMM REF 05-41-03-210]</t>
  </si>
  <si>
    <t>55-810-00-01</t>
  </si>
  <si>
    <t>PERFORM AN EXTERNAL ZONAL INSPECTION (GV) OF THE VERTICAL FIN - FRONT TO REAR SPAR. [AMM REF 05-41-03-210]</t>
  </si>
  <si>
    <t>55-812-00-01</t>
  </si>
  <si>
    <t>PERFORM AN INTERNAL ZONAL INSPECTION (GV) OF THE VERTICAL FIN - REAR SPAR TO TRAILING EDGE. INTERVAL NOTE: THE EZAP INSPECTION REQUIREMENT WITH INTERVAL 36000:AFL/12:YRS IS SATISFIED BY THIS ZONAL INSPECTION [AMM REF 05-41-03-210]</t>
  </si>
  <si>
    <t>55-814-00-01</t>
  </si>
  <si>
    <t>PERFORM AN EXTERNAL ZONAL INSPECTION (GV) OF THE VERTICAL FIN - REAR SPAR TO TRAILING EDGE. [AMM REF 05-41-03-210]</t>
  </si>
  <si>
    <t>55-816-00-01</t>
  </si>
  <si>
    <t>PERFORM AN EXTERNAL ZONAL INSPECTION (GV) OF THE RUDDER. [AMM REF 05-41-03-210]</t>
  </si>
  <si>
    <t>55-818-00-01</t>
  </si>
  <si>
    <t xml:space="preserve"> PERFORM AN EXTERNAL ZONAL INSPECTION (GV) OF THE VERTICAL FIN TIP. [AMM REF 05-41-03-210]</t>
  </si>
  <si>
    <t>55-828-00-01</t>
  </si>
  <si>
    <t>PERFORM AN EXTERNAL ZONAL INSPECTION (GV) OF THE HORIZONTAL STABILIZER - LEADING EDGE - LEFT. [AMM REF 05-41-03-210]</t>
  </si>
  <si>
    <t>55-822-01-01</t>
  </si>
  <si>
    <t>PERFORM AN EXTERNAL ZONAL INSPECTION (GV) OF THE HORIZONTAL STABILIZER - FRONT SPAR TO REAR SPAR - LEFT. [AMM REF 05-41-03-210]</t>
  </si>
  <si>
    <t>55-824-01-01</t>
  </si>
  <si>
    <t>PERFORM AN INTERNAL ZONAL INSPECTION (GV) OF THE INBOARD HORIZONTAL STABILIZER - FRONT SPAR TO REAR SPAR - LEFT. ACCESS NOTE: AS AN ALTERNATE TO THE WITH ACCESS PROVIDED, ACCESS PANEL 332AB CAN BE REMOVED FOR INSPECTION FROM LOWER SIDE OF STABILIZER. [AMM REF 05-41-03-210]</t>
  </si>
  <si>
    <t>55-826-01-01</t>
  </si>
  <si>
    <t>PERFORM AN INTERNAL ZONAL INSPECTION (GV) OF THE HORIZONTAL STABILIZER - REAR SPAR TO TRAILING EDGE - LEFT. INTERVAL NOTE: THE EZAP INSPECTION REQUIREMENT WITH INTERVAL 36000:AFL/12:YRS IS SATISFIED BY THIS ZONAL INSPECTION [AMM REF 05-41-03-210]</t>
  </si>
  <si>
    <t>55-828-01-01</t>
  </si>
  <si>
    <t>PERFORM AN EXTERNAL ZONAL INSPECTION (GV) OF THE HORIZONTAL STABILIZER - REAR SPAR TO TRAILING EDGE - LEFT. [AMM REF 05-41-03-210]</t>
  </si>
  <si>
    <t>55-830-01-01</t>
  </si>
  <si>
    <t>PERFORM AN EXTERNAL ZONAL INSPECTION (GV) OF THE HORIZONTAL STABILIZER - ELEVATOR - LEFT. [AMM REF 05-41-03-210]</t>
  </si>
  <si>
    <t>55-832-01-01</t>
  </si>
  <si>
    <t>ETERNAL ZONAL INSPECTION (GV) OF THE HORIZONTAL STABILIZER - STABILIZER TIP - LEFT. [AMM REF 05-41-03-210]</t>
  </si>
  <si>
    <t>55-834-01-01</t>
  </si>
  <si>
    <t xml:space="preserve"> PERFORM AN EXTERNAL ZONAL INSPECTION (GV) OF THE HORIZONTAL STABILIZER - LEADING EDGE - RIGHT. [AMM REF 05-41-03-210]</t>
  </si>
  <si>
    <t>55-836-02-01</t>
  </si>
  <si>
    <t>PERFORM AN EXTERNAL ZONAL INSPECTION (GV) OF THE HORIZONTAL STABILIZER - FRONT SPAR TO REAR SPAR - RIGHT. [AMM REF 05-41-03-210]</t>
  </si>
  <si>
    <t>55-838-02-01</t>
  </si>
  <si>
    <t>PERFORM AN INTERNAL ZONAL INSPECTION (GV) OF THE INBOARD HORIZONTAL STABILIZER - FRONT SPAR TO REAR SPAR - RIGHT. ACCESS NOTE: WITH ACCESS PROVIDED. [AMM REF 05-41-03-210]</t>
  </si>
  <si>
    <t>55-840-02-01</t>
  </si>
  <si>
    <t>PERFORM AN INTERNAL ZONAL INSPECTION (GV) OF THE HORIZONTAL STABILIZER - REAR SPAR TO TRAILING EDGE - RIGHT. INTERVAL NOTE: THE EZAP INSPECTION REQUIREMENT WITH INTERVAL 36000:AFL/12:YRS IS SATISFIED BY THIS ZONAL INSPECTION [AMM REF 05-41-03-210]</t>
  </si>
  <si>
    <t>55-842-02-01</t>
  </si>
  <si>
    <t>PERFORM AN EXTERNAL ZONAL INSPECTION (GV) OF THE HORIZONTAL STABILIZER - REAR SPAR TO TRAILING EDGE - RIGHT. [AMM REF 05-41-03-210]</t>
  </si>
  <si>
    <t>55-844-02-01</t>
  </si>
  <si>
    <t>PERFORM AN EXTERNAL ZONAL INSPECTION (GV) OF THE HORIZONTAL STABILIZER - ELEVATOR - RIGHT. [AMM REF 05-41-03-210]</t>
  </si>
  <si>
    <t>55-846-02-01</t>
  </si>
  <si>
    <t>PERFORM AN EXTERNAL ZONAL INSPECTION (GV) OF THE HORIZONTAL STABILIZER - STABILIZER TIP - RIGHT. [AMM REF 05-41-03-210]</t>
  </si>
  <si>
    <t>55-848-02-01</t>
  </si>
  <si>
    <t>OPERATIONAL CHECK THE INSIDE RELEASE MECHANISM FOR THE PILOTS AND CO-PILOTS NO 2 SLIDING WINDOW FROM THE OUTSIDE. [AMM REF 56-12-11-710]</t>
  </si>
  <si>
    <t>56-030-00-01</t>
  </si>
  <si>
    <t>PERFORM A GENERAL VISUAL INSPECTION OF THE PILOTS AND CO-PILOTS NO 2 SLIDING WINDOW SILL DRAIN FOR OBVIOUS DAMAGE, CLOGGING CONDITION AND SECURITY. APPLICABLE TO A/C LINE NO 145 AND ON. APPLICABLE TO LINE NO 1 TO 144 INCORPORATING SB 737-56-0111. [AMM REF 56-12-11-200]</t>
  </si>
  <si>
    <t>56-050-00-01</t>
  </si>
  <si>
    <t xml:space="preserve"> EXTERNAL - GENERAL VISUAL: WING CENTER SECTION INSPECT AFT SIDE OF REAR SPAR, INCLUDING KEEL BEAM STIFFENERS AT BL 6.2, AND SIDE OF BODY REAR SPAR TERMINAL FITTING. [AMM REF 51-05-01-210 &amp; 57-05-03-210]</t>
  </si>
  <si>
    <t>INTERNAL - GENERAL VISUAL: INSPECT LEFT HAND &amp; RIGHT HAND NACELLE SUPPORT FITTINGS: 1. FRONT SPAR PITCH FITTING (R1); 2. AFT DRAG LOAD FITTING (R1); OUTBOARD SIDE LOAD FITTING (R3); 4. INBOARD SIDE LOAD FITTING (R4); 5. SIDE BRACE SUPPORT FITTINGS (R7 AND R8); 6. R3 FORWARD BACKUP FITTING. INSPECT UPPER WING SKIN AT ATTACHMENT TO NACELLE FITTING R1. [AMM REF 51-05-01-210 &amp; 57-05-03-210]</t>
  </si>
  <si>
    <t>57-100-01-01</t>
  </si>
  <si>
    <t>INTERNAL - GENERAL VISUAL: LEFT OUTBOARD WING LOWER SURFACE INSPECT LEFT WING LOWER SURFACE UNDER STRUT FAIRING, INCLUDING ALL ATTACHMENT LOCATIONS. [AMM REF 05-05-01-210 &amp; 57-05-01-03-210]</t>
  </si>
  <si>
    <t>57-060-01-01</t>
  </si>
  <si>
    <t xml:space="preserve">INTERNAL - GENERAL VISUAL: RIGHT OUTBOARD WING LOWER SURFACE INSPECT RIGHT WING LOWER SURFACE UNDER STRUT FAIRING, INCLUDING ALL ATTACHMENT LOCATIONS. [AMM REF 05-05-01-210 &amp; 57-05-01-03-210]
</t>
  </si>
  <si>
    <t>57-060-02-01</t>
  </si>
  <si>
    <t>PERFORM AN EXTERNAL ZONAL INSPECTION (GV) OF THE LEADING EDGE TO FRONT SPAR - INBOARD OF NACELLE STRUT - LEFT WING. ACCESS NOTE: EXCLUDING SURFACE UNDER WING TO BODY FAIRING. [AMM REF 05-41-05-210]</t>
  </si>
  <si>
    <t>57-804-01-01</t>
  </si>
  <si>
    <t>PERFORM AN INTERNAL ZONAL INSPECTION (GV) OF THE LEADING EDGE TO FRONT SPAR - INBOARD OF NACELLE STRUT - LEFT WING. ACCESS NOTE: FLAPS DEPLOYED. INTERVAL NOTE: THE EZAP INSPECTION REQUIREMENT WITH INTERVAL 18000:AFL/6:YRS IS SATISFIED BY THIS ZONAL INSPECTION [AMM REF 05-41-05-210]</t>
  </si>
  <si>
    <t>57-806-01-01</t>
  </si>
  <si>
    <t>PERFORM AN EXTERNAL ZONAL INSPECTION (GV) OF THE KRUEGER FLAPS NO. 1 AND 2 - LEFT WING. [AMM REF 05-41-05-210]</t>
  </si>
  <si>
    <t>57-808-01-01</t>
  </si>
  <si>
    <t>PERFORM AN INTERNAL ZONAL INSPECTION (GV) OF THE KRUEGER FLAPS NO. 1 AND 2 - LEFT WING. ACCESS NOTE: FLAPS DEPLOYED. [AMM REF 05-41-05-210]</t>
  </si>
  <si>
    <t>57-810-01-01</t>
  </si>
  <si>
    <t>PERFORM AN EXTERNAL ZONAL INSPECTION (GV) OF THE LEADING EDGE TO FRONT SPAR - OUTBOARD OF NACELLE STRUT -LEFT WING. ACCESS NOTE: SLATS DEPLOYED. [AMM REF 05-41-05-210]</t>
  </si>
  <si>
    <t>57-812-01-01</t>
  </si>
  <si>
    <t>PERFORM AN INTERNAL ZONAL INSPECTION (GV) OF THE LEADING EDGE TO FRONT SPAR - OUTBOARD OF NACELLE STRUT - LEFT WING. INTERVAL NOTE: THE EZAP INSPECTION REQUIREMENT WITH INTERVAL 36000:AFL/12:YRS IS SATISFIED BY THIS ZONAL INSPECTION ACCESS NOTE: SLATS DEPLOYED. [AMM REF 05-41-05-210]</t>
  </si>
  <si>
    <t>57-814-01-01</t>
  </si>
  <si>
    <t>PERFORM AN EXTERNAL ZONAL INSPECTION (GV) OF THE SLATS NO. 1, 2, 3, 4 - LEFT WING. ACCESS NOTE: SLATS IN FULL EXTEND POSITION. [AMM REF 05-41-05-210]</t>
  </si>
  <si>
    <t>57-816-01-01</t>
  </si>
  <si>
    <t>PERFORM AN EXTERNAL ZONAL INSPECTION (GV) OF THE CENTER FUEL TANK - LEFT WING. ACCESS NOTE: EXCLUDING SURFACE UNDER WING TO BODY FAIRING. [AMM REF 05-41-05-210]</t>
  </si>
  <si>
    <t>57-824-01-01</t>
  </si>
  <si>
    <t xml:space="preserve"> PERFORM AN EXTERNAL ZONAL INSPECTION (GV) OF THE MAIN FUEL TANK - LEFT WING. [AMM REF 05-41-05-210]</t>
  </si>
  <si>
    <t>57-828-01-01</t>
  </si>
  <si>
    <t>PERFORM AN EXTERNAL ZONAL INSPECTION (GV) OF THE SURGE TANK - LEFT WING. [AMM REF 05-41-05-210]</t>
  </si>
  <si>
    <t>57-832-01-01</t>
  </si>
  <si>
    <t>PERFORM AN EXTERNAL ZONAL INSPECTION (GV) OF THE DRY BAY - LEFT WING. [AMM REF 05-41-05-210]</t>
  </si>
  <si>
    <t>57-834-01-01</t>
  </si>
  <si>
    <t>PERFORM AN EXTERNAL ZONAL INSPECTION (GV) OF THE FAIRING FLAP SUPPORT NO. 3 - LEFT WING. ACCESS NOTE: FLAPS EXTENDED. [AMM REF 05-41-05-210]</t>
  </si>
  <si>
    <t>57-836-01-01</t>
  </si>
  <si>
    <t xml:space="preserve"> PERFORM AN INTERNAL ZONAL INSPECTION (GV) OF THE FAIRING FLAP SUPPORT NO. 3 - LEFT WING. ACCESS NOTE: FLAPS EXTENDED. INTERVAL NOTE: THE EZAP INSPECTION REQUIREMENT WITH INTERVAL 18000:AFL/6:YRS IS SATISFIED BY THIS ZONAL INSPECTION [AMM REF 05-41-05-210]</t>
  </si>
  <si>
    <t>PERFORM AN EXTERNAL ZONAL INSPECTION (GV) OF THE FAIRING FLAP SUPPORT NO. 2 - LEFT. WING ACCESS NOTE: FLAPS EXTENDED. [AMM REF 05-41-05-210]</t>
  </si>
  <si>
    <t>PERFORM AN INTERNAL ZONAL INSPECTION (GV) OF THE FAIRING FLAP SUPPORT NO. 2 - LEFT WING. ACCESS NOTE: FLAPS EXTENDED, INSIDE OF FAIRING. INTERVAL NOTE: THE EZAP INSPECTION REQUIREMENT WITH INTERVAL 18000:AFL/6:YRS IS SATISFIED BY THIS ZONAL INSPECTION [AMM REF 05-41-05-210]</t>
  </si>
  <si>
    <t>PERFORM AN EXTERNAL ZONAL INSPECTION (GV) OF THE FAIRING FLAP SUPPORT NO. 1 - LEFT WING. ACCESS NOTE: FLAPS EXTENDED. [AMM REF 05-41-05-210]</t>
  </si>
  <si>
    <t>PERFORM AN INTERNAL ZONAL INSPECTION (GV) OF THE FAIRING FLAP SUPPORT NO. 1 - LEFT WING. ACCESS NOTE: FLAPS EXTENDED. INTERVAL NOTE: THE EZAP INSPECTION REQUIREMENT WITH INTERVAL 18000:AFL/6:YRS IS SATISFIED BY THIS ZONAL INSPECTION [AMM REF 05-41-05-210]</t>
  </si>
  <si>
    <t>PERFORM AN EXTERNAL ZONAL INSPECTION (GV) OF THE REAR SPAR TO LANDING GEAR SUPPORT BEAM - LEFT. WING. ACCESS NOTE: EXCLUDING SURFACE UNDER WING TO BODY FAIRING. [AMM REF 05-41-05-210]</t>
  </si>
  <si>
    <t>PERFORM IN EXTERNAL ZONAL INSPECTION (GV) OF THE INBOARD SPOILER NO. 6 - LEFT WING. ACCESS NOTE: SPOILER RAISED. [AMM REF 05-41-05-210]</t>
  </si>
  <si>
    <t>PERFORM AN EXTERNAL ZONAL INSPECTION (GV) OF THE INBOARD FLAPS - LEFT WING. ACCESS NOTE: FLAPS EXTENDED [AMM REF 05-41-05-210]</t>
  </si>
  <si>
    <t>PERFORM AN EXTERNAL ZONAL INSPECTION (GV) OF THE REAR SPAR TO TRAILING EDGE - OUTBOARD OF INBOARD FLAP - INBOARD OF FIXED TRAILING EDGE - LEFT WING. ACCESS NOTE: FLAPS DOWN, SPOILERS RAISED. INTERVAL NOTE: THE EZAP INSPECTION REQUIREMENT WITH INTERVAL 18000:AFL/6:YRS IS SATISFIED BY THIS ZONAL INSPECTION [AMM REF 05-41-05-210]</t>
  </si>
  <si>
    <t>PERFORM AN EXTERNAL ZONAL INSPECTION (GV) OF THE SPOILERS 1, 2, 3, 4, 5 - LEFT WING. ACCESS NOTE: SPOILERS RAISED. [AMM REF 05-41-05-210]</t>
  </si>
  <si>
    <t>PERFORM AN EXTERNAL ZONAL INSPECTION (GV) OF THE OUTBOARD FLAPS - LEFT WING. ACCESS NOTE: FLAPS EXTENDED. [AMM REF 05-41-05-210]</t>
  </si>
  <si>
    <t>PERFORM AN EXTERNAL ZONAL INSPECTION (GV) OF THE FIXED TRAILING EDGE - L. WING. [AMM REF 05-41-05-210]</t>
  </si>
  <si>
    <t>PERFORM AN INTERNAL ZONAL INSPECTION (GV) OF THE FIXED TRAILING EDGE - LEFT WING. ACCESS NOTE: AILERON CONTROL AREA ONLY. INTERVAL NOTE: THE EZAP INSPECTION REQUIREMENT WITH INTERVAL 36000:AFL/12:YRS IS SATISFIED BY THIS ZONAL INSPECTION [AMM REF 05-41-05-210]</t>
  </si>
  <si>
    <t>57-868-01-01</t>
  </si>
  <si>
    <t>PERFORM AN EXTERNAL ZONAL INSPECTION (GV) OF THE AILERON - LEFT WING. [AMM REF 05-41-05-210]</t>
  </si>
  <si>
    <t>57-870-01-01</t>
  </si>
  <si>
    <t>PERFORM AN EXTERNAL ZONAL INSPECTION (GV) OF THE LEADING EDGE TO FRONT SPAR - INBOARD OF THE NACELLE STRUT - RIGHT WING. ACCESS NOTE: EXCLUDING SURFACE UNDER WING TO BODY FAIRING. [AMM REF 05-41-06-210]</t>
  </si>
  <si>
    <t>PERFORM AN INTERNAL ZONAL INSPECTION (GV) OF THE LEADING EDGE TO FRONT SPAR - INBOARD OF THE NACELLE STRUT - RIGHT WING. ACCESS NOTE: FLAPS DEPLOYED. INTERVAL NOTE: THE EZAP INSPECTION REQUIREMENT WITH INTERVAL 18000:AFL/6:YRS IS SATISFIED BY THIS ZONAL INSPECTION [AMM REF 05-41-06-210]</t>
  </si>
  <si>
    <t>57-876-02-01</t>
  </si>
  <si>
    <t>PERFORM AN EXTERNAL ZONAL INSPECTION (GV) OF THE KRUEGER FLAPS NO. 3 AND 4 - RIGHT WING. [AMM REF 05-41-06-210]</t>
  </si>
  <si>
    <t>57-878-02-01</t>
  </si>
  <si>
    <t>PERFORM AN INTERNAL ZONAL INSPECTION (GV) OF THE KRUEGER FLAPS NO. 3 AND 4 – RIGHT WING. [AMM REF 05-41-06-210]</t>
  </si>
  <si>
    <t>57-880-02-01</t>
  </si>
  <si>
    <t>PERFORM AN EXTERNAL ZONAL INSPECTION (GV) OF THE LEADING EDGE TO FRONT SPAR - OUTBOARD OF THE NACELLE STRUT - RIGHT WING. ACCESS NOTE: SLATS DEPLOYED. [AMM REF 05-41-06-210]</t>
  </si>
  <si>
    <t>PERFORM AN INTERNAL ZONAL INSPECTION (GV) OF THE LEADING EDGE TO FRONT SPAR - OUTBOARD OF THE NACELLE STRUT - RIGHT WING. ACCESS NOTE: SLATS DEPLOYED. INTERVAL NOTE: THE EZAP INSPECTION REQUIREMENT WITH INTERVAL 36000:AFL/12:YRS IS SATISFIED BY THIS ZONAL INSPECTION [AMM REF 05-41-06-210]</t>
  </si>
  <si>
    <t>57-884-02-01</t>
  </si>
  <si>
    <t>PERFORM AN EXTERNAL ZONAL INSPECTION (GV) OF THE SLATS NO. 5, 6, 7, 8 - RIGHT WING. ACCESS NOTE: SLATS IN FULL EXTEND POSITION. [AMM REF 05-41-06-210]</t>
  </si>
  <si>
    <t>PERFORM AN EXTERNAL ZONAL INSPECTION (GV) OF THE CENTER FUEL TANK - RIGHT WING. ACCESS NOTE: EXCLUDING SURFACE UNDER WING TO BODY FAIRING. [AMM REF 05-41-06-210]</t>
  </si>
  <si>
    <t>57-894-02-01</t>
  </si>
  <si>
    <t>PERFORM AN EXTERNAL ZONAL INSPECTION (GV) OF THE MAIN FUEL TANK - RIGHT WING. [AMM REF 05-41-06-210]</t>
  </si>
  <si>
    <t>57-898-02-01</t>
  </si>
  <si>
    <t>PERFORM AN EXTERNAL ZONAL INSPECTION (GV) OF THE SURGE TANK - RIGHT WING. [AMM REF 05-41-06-210]</t>
  </si>
  <si>
    <t>57-902-02-01</t>
  </si>
  <si>
    <t>PERFORM AN EXTERNAL ZONAL INSPECTION (GV) OF THE DRY BAY - RIGHT WING. [AMM REF 05-41-06-210]</t>
  </si>
  <si>
    <t>57-904-02-01</t>
  </si>
  <si>
    <t>PERFORM AN EXTERNAL ZONAL INSPECTION (GV) OF THE FAIRING FLAP SUPPORT NO. 6 – RIGHT WING. ACCESS NOTE: FLAPS EXTENDED. [AMM REF 05-41-06-210]</t>
  </si>
  <si>
    <t>57-906-02-01</t>
  </si>
  <si>
    <t>PERFORM AN INTERNAL ZONAL INSPECTION (GV) OF THE FAIRING FLAP SUPPORT NO. 6 – RIGHT WING. ACCESS NOTE: FLAPS EXTENDED. INTERVAL NOTE: THE EZAP INSPECTION REQUIREMENT WITH INTERVAL 18000:AFL/6:YRS IS SATISFIED BY THIS ZONAL INSPECTION [AMM REF 05-41-06-210]</t>
  </si>
  <si>
    <t>57-908-02-01</t>
  </si>
  <si>
    <t>PERFORM AN EXTERNAL ZONAL INSPECTION (GV) OF THE FAIRING FLAP SUPPORT NO. 7 – RIGHT WING. ACCESS NOTE: FLAPS EXTENDED. [AMM REF 05-41-06-210]</t>
  </si>
  <si>
    <t>57-910-02-01</t>
  </si>
  <si>
    <t>PERFORM AN INTERNAL ZONAL INSPECTION (GV) OF THE FAIRING FLAP SUPPORT NO. 7 – RIGHT WING. ACCESS NOTE: FLAPS EXTENDED. INTERVAL NOTE: THE EZAP INSPECTION REQUIREMENT WITH INTERVAL 18000:AFL/6:YRS IS SATISFIED BY THIS ZONAL INSPECTION [AMM REF 05-41-06-210]</t>
  </si>
  <si>
    <t>57-912-02-01</t>
  </si>
  <si>
    <t>PERFORM AN EXTERNAL ZONAL INSPECTION (GV) OF THE FAIRING FLAP SUPPORT NO. 8 – RIGHT WING. ACCESS NOTE: FLAPS EXTENDED. [AMM REF 05-41-06-210]</t>
  </si>
  <si>
    <t>57-914-02-01</t>
  </si>
  <si>
    <t>PERFORM AN INTERNAL ZONAL INSPECTION (GV) OF THE FAIRING FLAP SUPPORT NO. 8 – RIGHT WING. ACCESS NOTE: FLAPS EXTENDED, INSIDE OF FAIRING. INTERVAL NOTE: THE EZAP INSPECTION REQUIREMENT WITH INTERVAL 18000:AFL/6:YRS IS SATISFIED BY THIS ZONAL INSPECTION [AMM REF 05-41-06-210]</t>
  </si>
  <si>
    <t>57-916-02-01</t>
  </si>
  <si>
    <t>PERFORM AN EXTERNAL ZONAL INSPECTION (GV) OF THE REAR SPAR TO LANDING GEAR SUPPORT BEAM – RIGHT WING. ACCESS NOTE: EXCLUDING SURFACE UNDER WING TO BODY FAIRING. [AMM REF 05-41-06-210]</t>
  </si>
  <si>
    <t>57-918-02-01</t>
  </si>
  <si>
    <t>PERFORM AN EXTERNAL ZONAL INSPECTION (GV) OF THE INBOARD SPOILER NO. 7 – RIGHT WING. ACCESS NOTE: SPOILERS RAISED. [AMM REF 05-41-06-210]</t>
  </si>
  <si>
    <t>57-922-02-01</t>
  </si>
  <si>
    <t>PERFORM AN EXTERNAL ZONAL INSPECTION (GV) OF THE INBOARD FLAPS – RIGHT WING. ACCESS NOTE: FLAPS EXTENDED. [AMM REF 05-41-06-210]</t>
  </si>
  <si>
    <t>57-924-02-01</t>
  </si>
  <si>
    <t>PERFORM AN EXTERNAL ZONAL INSPECTION (GV) OF THE REAR SPAR TO TRAILING EDGE – OUTBOARD OF INBOARD FLAP – INBOARD OF FIXED TRAILING EDGE – RIGHT WING. ACCESS NOTE: FLAPS DOWN, SPOILERS RAISED. INTERVAL NOTE: THE EZAP INSPECTION REQUIREMENT WITH INTERVAL 18000:AFL/6:YRS IS SATISFIED BY THIS ZONAL INSPECTION [AMM REF 05-41-06-210]</t>
  </si>
  <si>
    <t>57-928-02-01</t>
  </si>
  <si>
    <t>PERFORM AN EXTERNAL ZONAL INSPECTION (GV) OF THE SPOILERS NO. 8, 9, 10, 11, 12 – RIGHT WING. ACCESS NOTE: SPOILERS RAISED. [AMM REF 05-41-06-210]</t>
  </si>
  <si>
    <t>57-930-02-01</t>
  </si>
  <si>
    <t>PERFORM AN EXTERNAL ZONAL INSPECTION (GV) OF THE OUTBOARD FLAPS – RIGHT WING. ACCESS NOTE: FLAPS EXTENDED. [AMM REF 05-41-06-210]</t>
  </si>
  <si>
    <t>57-932-02-01</t>
  </si>
  <si>
    <t>PERFORM AN EXTERNAL ZONAL INSPECTION (GV) OF THE FIXED TRAILING EDGE – RIGHT WING. [AMM REF 05-41-06-210]</t>
  </si>
  <si>
    <t>57-934-02-01</t>
  </si>
  <si>
    <t>PERFORM AN INTERNAL ZONAL INSPECTION (GV) OF THE FIXED TRAILING EDGE – RIGHT WING. ACCESS NOTE: AILERON CONTROL AREA ONLY. INTERVAL NOTE: THE EZAP INSPECTION REQUIREMENT WITH INTERVAL 36000:AFL/12:YRS IS SATISFIED BY THIS ZONAL INSPECTION [AMM REF 05-41-06-210]</t>
  </si>
  <si>
    <t>57-938-02-01</t>
  </si>
  <si>
    <t>PERFORM AN EXTERNAL ZONAL INSPECTION (GV) OF THE AILERON - RIGHT WING. [AMM REF 05-41-06-210]</t>
  </si>
  <si>
    <t>57-940-02-01</t>
  </si>
  <si>
    <t>PERFORM EXTERNAL VISUAL INSPECTION (GV) OF THE LEFT WINGLET. AIRPLANE NOTE: IF INSTALLED, TASK IS EQUIVALENT TO APB TASK 57-942-01 REF APB MAINT PLANNING DOC SUPPLEMENT AP37.1-0704.1. [AMM REF 05-41-05-210</t>
  </si>
  <si>
    <t>PERFORM AN INTERNAL ZONAL INSPECTION (GV) OF THE LEFT WINGLET. AIRPLANE NOTE: IF INSTALLED, TASK IS EQUIVALENT TO APB TASK 57-944-01 REF APB MAINT PLANNING DOC SUPPLEMENT AP37.1-0704.1. [AMM REF 05-41-05-210]</t>
  </si>
  <si>
    <t>57-952-01-01</t>
  </si>
  <si>
    <t>PERFORM EXTERNAL ZONAL INSPECTION (GV) OF THE RIGHT WINGLET. AIRPLANE NOTE: IF INSTALLED, TASK IS EQUIVALENT TO APB TASK 57-946-01 REF APB MAINT PLANNING DOC SUPPLEMENT AP37.1-0704.1. [AMM REF 05-41-05-210]</t>
  </si>
  <si>
    <t>PERFORM AN INTERNAL ZONAL INSPECTION (GV) OF THE RIGHT WINGLET. AIRPLANE NOTE: IF INSTALLED, TASK IS EQUIVALENT TO APB TASK 57-948-01 REF APB MAINT PLANNING DOC SUPPLEMENT AP37.1-0704.1. [AMM REF 05-41-05-210]</t>
  </si>
  <si>
    <t>57-962-02-01</t>
  </si>
  <si>
    <t>PERFORM AN EXTERNAL ZONAL INSPECTION (GV) AND INTEGRITY TEST OF THE THRUST REVERSER - ENGINE NO. 1. ACCESS NOTE: THRUST REVERSER IN STOWED AND DEPLOYED POSITION. AD 2019-20-02 REQUIRES AN INTEGRITY TEST AS PARA (I) AND IS DONE ACCORDING TO AMM 78-31-03-700-801-F00, ALSO REFER TO PARA (K) AND (L) FOR A FAILED INTEGRITY TEST ON PARTS AND PROHIBITION INTO POSITION INFORMATION. [AMM REF 05-41-04-210]</t>
  </si>
  <si>
    <t>PERFORM AN EXTERNAL ZONAL INSPECTION (GV) AND INTEGRITY TEST OF THE THRUST REVERSER - ENGINE NO. 2. ACCESS NOTE: THRUST REVERSER IN STOWED AND DEPLOYED POSITION. AD 2019-20-02 REQUIRES AN INTEGRITY TEST AS PARA (I) AND IS DONE ACCORDING TO AMM 78-31-03-700-801-F00, ALSO REFER TO PARA (K) AND (L) FOR A FAILED INTEGRITY TEST ON PARTS AND PROHIBITION INTO POSITION INFORMATION. [AMM REF 05-41-04-210]</t>
  </si>
  <si>
    <t>INSPECT GALLEY FOR INTEGRITY OF THE STRUCTURE AND ATTACHMENT FITTINGS. [AS PER CMM 25-30-00]</t>
  </si>
  <si>
    <t>TEST ALL SWITCHES, CIRCUIT BREAKERS AND RELAYS FOR PROPER OPERATION USING A MULTIMETER. [AS PER CMM 25-37-00]</t>
  </si>
  <si>
    <t>TEST THE ELECTRICAL WIRING HARNESSES FOR CONTINUITY AND CORRECT CONFIGURATION. [AS PER CMM 25-37-00]</t>
  </si>
  <si>
    <t xml:space="preserve"> TEST ALL GROUNDS FOR PROPER CONTACT, AND FOR ANY DIRT OR CORROSION THAT MIGHT IMPAIR THE GROUNDING FUNCTION. [AS PER CMM 25-37-00]</t>
  </si>
  <si>
    <t>BBJ APP E-5 C3 Check</t>
  </si>
  <si>
    <t>EQUIPMENT/FURNISHING-GENERAL VISUAL - SOUNDPROOFING - PASSENGER COMPARTMENT. [AS PER OMM, CHAP 05-10-00, CHAP 25-00</t>
  </si>
  <si>
    <t>EQUIPMENT/FURNISHING-GENERAL VISUAL - SOUNDPROOFING - FWD CARGO COMPARTMENT. [AS PER OMM, CHAP 05-10-00, CHAP 25-00]</t>
  </si>
  <si>
    <t>EQUIPMENT/FURNISHING-GENERAL VISUAL - SOUNDPROOFING - AFT CARGO COMPARTMENT. [AS PER OMM, CHAP 05-10-00, CHAP 25-00]</t>
  </si>
  <si>
    <t>EMERGENCY EQUIPMENT-REPLACE - SAFETY BELT. [AS PER OMM, CHAP 05-10-00, CHAP 25-60] NOTE: COCKPIT SEAT BELT TO BE CLARIFIED WITH BOEING</t>
  </si>
  <si>
    <t>EMERGENCY EQUIPMENT -RESTORATION AND HYDROSTATIC TEST - BCF FIRE EXTINGUISHER. [AS PER OMM, CHAP 05-10-00, CHAP 25-60]</t>
  </si>
  <si>
    <t>OXYGEN SYSTEM-REPLACE - DEPLOYMENT CONTAINER - GENERATOR [AS PER OMM, CHAP 05-10-00, CHAP 35-00]</t>
  </si>
  <si>
    <t>FUNCTIONALLY CHECK THE LIGHTNING/HIRF PROTECTION COMPONENTS IN THE LRRA ANTENNA INSTALLATION FOR DEGRADATION OF THE BOND BETWEEN ANTENNA TO STRUCTURE USING THE LOOP RESISTANCE TESTER (LTR) AIRPLANE NOTE: APPLICABLE TO AIRPLANES WITH THE S67-2002-18 LRRA ANTENNA INSTALLED WITHOUT GASKET AG723000-40. THE PRODUCTION LINE NUMBER 4306 AND PRIOR OR AIRPLANES WITH LRRA ANTENNA S67-2002-18 AND WITHOUT GASKET AG723000-40 INSTALLED [AMM REF 05-55-47-200]</t>
  </si>
  <si>
    <t>AV</t>
  </si>
  <si>
    <t>RESTORE (CLEAN) AREA FORWARD OF NOSE WELL. (EZAP) [AMM REF 05-42-01-100 AND 20-60-02-100]</t>
  </si>
  <si>
    <t xml:space="preserve"> RESTORE (CLEAN) AREA ABOVE AND OUTBOARD OF NOSE WHEEL WELL. (EZAP) [AMM REF 05-42-01-100 AND 20-60-02-100]</t>
  </si>
  <si>
    <t>INSPECT (DETAILED) THE EXTERNAL POWER FEEDER WIRING AND CONNECTED EWIS IN THE AREA OUTBOARD OF NOSE WHEEL WELL (RIGHT SIDE). (EZAP). [AMM REF 05-42-01-211 AND 20-60-03-100]</t>
  </si>
  <si>
    <t>RESTORE (CLEAN) AREA AFT OF FORWARD CARGO COMPARTMENT. (EZAP). [AMM REF 05-42-01-100 AND 20-60-02-100]</t>
  </si>
  <si>
    <t>INSPECT (DETAILED) ALL EXPOSED EWIS IN THE P5 (FWD/AFT), P6 AND P18 PANELS. (EZAP). OPENING P5 (FWD/AFT), P6 AND P18 PANELS REQUIRED. [AMTOSS CODE 05-42-02-211 AND 20-60-03-100]</t>
  </si>
  <si>
    <t>INSPECT (GENERAL VISUAL) ALL EXPOSED EWIS IN THE FLIGHT COMPARTMENT EXCLUDING EXPOSED EWIS IN THE P5 (FWD/AFT), P6 AND P18 PANELS. (EZAP). ACCESS NOTE: WITH ACCESS PROVIDED. SEATS REMOVED. CONTROL STAND ACCESS PANELS, OVERHEAD &amp; SIDEWALL PANELS, GLARE SHIELD, INSTRUMENTS/PANELS REMOVAL REQUIRED. [AMM REF 05-42-02-210 AND 20-60-04-100]</t>
  </si>
  <si>
    <t>RESTORE (CLEAN) AREAS ABOVE CEILING, BEHIND SIDEWALLS AND UNDER THE RACEWAY COVER PLATE ON BOTH SIDES OF THE PASSENGER COMPARTMENT , AFT OF FLIGHT COMPARTMENT TO FORWARD ENTRY DOOR. (EZAP). ACCESS NOTE: WITH ACCESS PROVIDED. GALLEYS AND LAVS REMOVED. CEILING AND SIDEWALL PANELS REMOVAL REQUIRED. [AMM REF 05-42-02-100 AND 20-60-02-100]</t>
  </si>
  <si>
    <t>20-420-00-01</t>
  </si>
  <si>
    <t>RESTORE (CLEAN) AREAS ABOVE CEILING, AND BEHIND SIDEWALLS AND RETURN AIR GRILLES IN FORWARD PASSENGER COMPARTMENT, DRY AREA, STA. 360 TO 663.75. (EZAP) ACCESS NOTE: REMOVAL OF SIDEWALL PANELS, CEILING PANELS AND RETURN AIR GRILLES REQUIRE. [AMM REF 05-42-02-100 AND 20-60-02-100]</t>
  </si>
  <si>
    <t>20-430-00-01</t>
  </si>
  <si>
    <t xml:space="preserve"> RESTORE (CLEAN) AREAS ABOVE CEILING, AND BEHIND SIDEWALLS AND RETURN AIR GRILLES IN FORWARD PASSENGER COMPARTMENT, WET AREA, STA. 360 TO 663.75. (EZAP) ACCESS NOTE: GALLEYS AND LAVS REMOVED. REMOVAL OF SIDEWALL PANELS, CEILING PANELS AND RETURN AIR GRILLES REQUIRED IN AREAS WHERE GALLEYS AND LAVS ARE LOCATED. [AMM REF 05-42-02-100 AND 20-60-02-100]</t>
  </si>
  <si>
    <t>20-435-00-01</t>
  </si>
  <si>
    <t>RESTORE (CLEAN) AREAS ABOVE CEILING, AND BEHIND SIDEWALLS AND RETURN AIR GRILLES IN AFT PASSENGER COMPARTMENT, DRY AREA, STA 663.75 TO AFT PRESSURE BULKHEAD. (EZAP). ACCESS NOTE: REMOVAL OF SIDEWALL PANELS, CEILING PANELS AND RETURN AIR GRILLES REQUIRED. [AMM REF 05-42-02-100 AND 20-60-02-100]</t>
  </si>
  <si>
    <t>20-440-00-01</t>
  </si>
  <si>
    <t>RESTORE (CLEAN) AREAS ABOVE CEILING, AND BEHIND SIDEWALLS AND RETURN AIR GRILLES IN AFT PASSENGER COMPARTMENT, WET AREAS, STA. 663.75 TO AFT PRESSURE BULKHEAD. (EZAP). ACCESS NOTE: GALLEYS AND LAVS REMOVED. REMOVAL OF SIDEWALL PANELS, CEILING PANELS AND RETURN AIR GRILLES REQUIRED IN AREAS WHERE GALLEYS AND LAVS ARE LOCATED. [AMM REF 05-42-02-100 AND 20-60-02-100]</t>
  </si>
  <si>
    <t>20-445-00-01</t>
  </si>
  <si>
    <t>INSPECT (DETAILED) THE APU STARTER/GENERATOR POWER FEEDER WIRING AND CONNECTED EWIS IN THE AREA AFT OF PRESSURE BULKHEAD. (EZAP). [AMM REF 05-42-03-211 AND 20-60-03-100]</t>
  </si>
  <si>
    <t>20-460-00-01</t>
  </si>
  <si>
    <t>INSPECT (DETAILED) ALL EXPOSED EWIS IN THE AREA FROM LEADING EDGE TO FRONT SPAR - LEFT WING. (EZAP). [AMM REF 05-42-05-211 AND 20-60-03-100]</t>
  </si>
  <si>
    <t>20-550-00-01</t>
  </si>
  <si>
    <t>INSPECT (DETAILED) ALL EXPOSED EWIS IN THE AREA FROM LEADING EDGE TO FRONT SPAR - RIGHT WING. (EZAP). [AMM REF 05-42-06-211 AND 20-60-03-100]</t>
  </si>
  <si>
    <t>20-590-00-01</t>
  </si>
  <si>
    <t>FUNCTIONALLY CHECK THE NEGATIVE PRESSURE RELIEF DOOR. [AMM REF 21-32-03-700]</t>
  </si>
  <si>
    <t>21-090-00-01</t>
  </si>
  <si>
    <t>OPERATIONALLY CHECK THE TRIM AIR PRESSURE REGULATOR AND SHUTOFF VALVE (SHUTOFF FUNCTION). [AMM REF 21-62-00-000]</t>
  </si>
  <si>
    <t>21-130-00-01</t>
  </si>
  <si>
    <t>INSPECT (DETAILED) THE LEFT EMERGENCY EXIT HATCH ESCAPE STRAP FOR CONDITION AND SECURITY. [AMM REF 25-61-10-710]</t>
  </si>
  <si>
    <t>INSPECT (DETAILED) THE RIGHT EMERGENCY EXIT HATCH ESCAPE STRAP FOR CONDITION AND SECURITY. [AMM REF 25-61-10-710]</t>
  </si>
  <si>
    <t>INSPECT (DETAILED) THE FLIGHT COMPARTMENT ESCAPE LANYARDS (2) FOR CONDITION AND SECURITY. [AMM REF 25-61-10-210]</t>
  </si>
  <si>
    <t>FUNCTIONALLY CHECK THE AILERON SPRING CARTRIDGE AND TRANSFER MECHANISM. [AMM REF 27-11-00-700]</t>
  </si>
  <si>
    <t>27-018-00-01</t>
  </si>
  <si>
    <t>FUNCTIONALLY CHECK THE FORCE REQUIRED TO EXTEND AND COLLAPSE THE A AND B SYSTEM AILERON POWER CONTROL UNIT INPUT POGO'S. [AMM REF 27-11-00-720]</t>
  </si>
  <si>
    <t>27-022-00-01</t>
  </si>
  <si>
    <t>FUNCTIONALLY CHECK THE AILERON SYSTEM CONTROL WHEEL FORCES. [AMM REF 27-11-00-700]</t>
  </si>
  <si>
    <t>27-032-00-01</t>
  </si>
  <si>
    <t>FUNCTIONALLY CHECK THE FORCE NECESSARY TO BREAKOUT THE ELEVATOR CONTROL COLUMN OVERRIDE ASSEMBLY. [AMM REF 27-31-00-720]</t>
  </si>
  <si>
    <t>27-084-00-01</t>
  </si>
  <si>
    <t>FUNCTIONALLY CHECK THE FORCE NECESSARY TO COLLAPSE AND EXTEND THE ELEVATOR INPUT ROD POGO'S. [AMM REF 27-31-00-820]</t>
  </si>
  <si>
    <t>27-192-00-01</t>
  </si>
  <si>
    <t>LUBRICATE THE FORWARD STABILIZER TRIM MECHANISM DRIVE TRAIN. [AMM REF 12-22-41-600]</t>
  </si>
  <si>
    <t>27-104-00-01</t>
  </si>
  <si>
    <t>REPLACE THE FLAP POWER DRIVE UNIT OIL. [AMM REF 12-22-51-610]</t>
  </si>
  <si>
    <t>27-134-00-01</t>
  </si>
  <si>
    <t>REPLACE THE LEFT WING FLAP DRIVE TRANSMISSION OIL. [AMM REF 12-22-51-610]</t>
  </si>
  <si>
    <t>27-142-01-01</t>
  </si>
  <si>
    <t>REPLACE THE RIGHT WING FLAP DRIVE TRANSMISSION OIL. [AMM REF 12-22-51-610]</t>
  </si>
  <si>
    <t>27-142-02-01</t>
  </si>
  <si>
    <t>DETAILED INSPECTION OF THE L/H WING TRAILING EDGE FLAP BALLSCREW ACTUATOR FOR GREASE LEAKAGE, WEAR AND CONDITION. [AMM REF 27-51-32-200 27-51-42-200]</t>
  </si>
  <si>
    <t>27-148-03-01</t>
  </si>
  <si>
    <t>DETAILED INSPECTION OF THE R/H WING TRAILING EDGE FLAP BALLSCREW ACTUATOR FOR GREASE LEAKAGE, WEAR AND CONDITION. [AMM REF 27-51-32-200, 27-51-42-200]</t>
  </si>
  <si>
    <t>27-148-04-01</t>
  </si>
  <si>
    <t>PERFORM A DETAIL VISUAL INSPECTION OF THE TRAILING EDGE FLAP LEVER SENSOR, LINKAGE, ROD AND ROD ENDS. [AMM REF 27-51-06-210]</t>
  </si>
  <si>
    <t>27-166-00-01</t>
  </si>
  <si>
    <t>FUNCTIONALLY CHECK THE INTERNAL LEAKAGE OF LEADING EDGE SLAT ACTUATORS. [AMM REF 29-00-00-790]</t>
  </si>
  <si>
    <t>27-210-00-01</t>
  </si>
  <si>
    <t>FUNCTIONALLY CHECK THE INTERNAL LEAKAGE OF LEADING EDGE FLAP ACTUATORS. [AMM REF 29-00-00-790]</t>
  </si>
  <si>
    <t>27-212-00-01</t>
  </si>
  <si>
    <t>FUNCTIONAL CHECK (RESISTANCE MEASUREMENT) THE BONDING BETWEEN THE HYDRAULIC LINE FITTING AT FUEL TANK WALL PENETRATIONS AND THE ADJOINING STRUCTURE. (SFAR 88) [AMM REF 29-11-04-200]</t>
  </si>
  <si>
    <t>28-201-00-01</t>
  </si>
  <si>
    <t>FUNCTIONAL CHECK (RESISTANCE MEASUREMENT) THE BONDING BETWEEN THE LOWER AIR VENT STACK AND THE DOOR STRUCTURE. (SFAR 88) [AMM REF 28-13-31-200]</t>
  </si>
  <si>
    <t>28-204-00-01</t>
  </si>
  <si>
    <t>FUNCTIONAL CHECK (RESISTANCE MEASUREMENT) THE BONDING BETWEEN THE PRESSURE RELIEF VALVE AND THE STRUCTURE. (SFAR 88) [AMM REF 28-13-41-200]</t>
  </si>
  <si>
    <t>28-205-00-01</t>
  </si>
  <si>
    <t>FUNCTIONAL CHECK (RESISTANCE MEASUREMENT) THE BONDING OF THE FUELING SHUTOFF VALVE ACTUATOR (SOLENOID) TO THE ADJOINING STRUCTURE. (SFAR 88) [AMM REF 28-21-51-200]</t>
  </si>
  <si>
    <t>28-207-00-01</t>
  </si>
  <si>
    <t xml:space="preserve"> FUNCTIONAL CHECK (RESISTANCE MEASUREMENT) THE BONDING OF THE FUELING RECEPTACLE (MANIFOLD) AND THE STRUCTURE. (SFAR 88) [AMM REF 28-21-11-200]</t>
  </si>
  <si>
    <t>28-208-00-01</t>
  </si>
  <si>
    <t>FUNCTIONAL CHECK (RESISTANCE MEASUREMENT) THE BONDING BETWEEN MOTOR OPERATED VALVE ACTUATOR AND ADJOINING STRUCTURE. NOTE: THIS INSPECTION IS PERFORMED FROM OUTSIDE THE TANK. (SFAR 88) [AMM REF 28-22-11-200 AND 28-22-21-200]</t>
  </si>
  <si>
    <t>28-211-00-02/ 28-211-00-01</t>
  </si>
  <si>
    <t>FUNCTIONAL CHECK (RESISTANCE MEASUREMENT) THE BONDING RESISTANCE BETWEEN THE APU SHUTOFF VALVE ACTUATOR AND ADJOINING STRUCTURE. (SFAR 88) [AMM REF 28-25-02-200]</t>
  </si>
  <si>
    <t>28-213-00-01</t>
  </si>
  <si>
    <t>GROSS INTERNAL HYDRAULIC SYSTEM LEAKAGE CHECK. [AMM REF 29-00-00-790]</t>
  </si>
  <si>
    <t>29-010-00-01</t>
  </si>
  <si>
    <t>OPERATIONAL CHECK AUTOMATIC ACTIVATION OF THE AIR DATA SENSOR HEATING FOR SYSTEM A AND B, IF INSTALLED. AIRPLANE NOTE: APPLICABLE TO AIRPLANES WITH AUTOMATIC AIR DATA SENSOR HEATING INSTALLED. AIRPLANES LINE NUMBERS 3424 AND ON, AND AIRPLANES INCORPORATING SB 737-30A1063 [AMM REF 30-31-00-750]</t>
  </si>
  <si>
    <t>INTERNAL - GENERAL VISUAL: LEFT MAIN LANDING GEAR ASSEMBLY INSPECT LEFT MAIN LANDING GEAR ASSEMBLY, INCLUDING OUTER CYLINDER, INNER CYLINDER, AXLE, TORSION LINKS, SIDE STRUT, LOCK LINKS AND RETRACTION LINKAGE. LANDING GEAR REMOVAL IS REQUIRED. DISASSEMBLE AS REQUIRED TO ACCOMPLISH CPCP BASIC TASK ON ALL FITTINGS, LUGS, LUG BORES, BOLTS AND PINS. NORMAL OVERHAUL PROCEDURES, APPLIED WITH THE LANDING GEAR REMOVED AT INTERVALS NOT EXCEEDING 12 YEARS, ARE ADEQUATE TO MAINTAIN CORROSION AT SAFE LEVELS ON MAIN LANDING GEAR COMPONENTS. THEREFORE APPLICATIONS OF THE BASIC TASKS AND REPORTING ARE NOT REQUIRED ON THESE COMPONENTS. [AMM REF 32-05-03-210 AND 51-05-01-210]</t>
  </si>
  <si>
    <t>32-720-01-01</t>
  </si>
  <si>
    <t>INTERNAL - GENERAL VISUAL: RIGHT MAIN LANDING GEAR ASSEMBLY INSPECT RIGHT MAIN LANDING GEAR ASSEMBLY, INCLUDING OUTER CYLINDER, INNER CYLINDER, AXLE, TORSION LINKS, SIDE STRUT, LOCK LINKS AND RETRACTION LINKAGE. LANDING GEAR REMOVAL IS REQUIRED. DISASSEMBLE AS REQUIRED TO ACCOMPLISH CPCP BASIC TASK ON ALL FITTINGS, LUGS, LUG BORES, BOLTS AND PINS. NORMAL OVERHAUL PROCEDURES, APPLIED WITH THE LANDING GEAR REMOVED AT INTERVALS NOT EXCEEDING 12 YEARS, ARE ADEQUATE TO MAINTAIN CORROSION AT SAFE LEVELS ON MAIN LANDING GEAR COMPONENTS. THEREFORE APPLICATIONS OF THE BASIC TASKS AND REPORTING ARE NOT REQUIRED ON THESE COMPONENTS. [AMM REF 32-05-03-210 AND 51-05-01-210]</t>
  </si>
  <si>
    <t>32-720-02-01</t>
  </si>
  <si>
    <t xml:space="preserve"> INTERNAL - GENERAL VISUAL: NOSE LANDING GEAR ASSEMBLY INSPECT NOSE LANDING GEAR ASSEMBLY, INCLUDING OUTER CYLINDER, INNER CYLINDER, DRAG STRUT, LOCK LINKS, TORSION LINKS, AND STEERING MECHANISM (PLATES AND COLLAR). LANDING GEAR REMOVAL IS REQUIRED. DISASSEMBLE AS REQUIRED TO ACCOMPLISH CPCP BASIC TASK ON ALL FITTINGS, LUGS, LUG BORES, BOLTS AND PINS. NORMAL OVERHAUL PROCEDURES, APPLIED WITH THE LANDING GEAR REMOVED AT INTERVALS NOT EXCEEDING 12 YEARS, ARE ADEQUATE TO MAINTAIN CORROSION AT SAFE LEVELS ON NOSE LANDING GEAR COMPONENTS. THEREFORE APPLICATIONS OF THE BASIC TASKS AND REPORTING ARE NOT REQUIRED ON THESE COMPONENTS. [AMM REF 32-05-03-210 AND 51-05-01-210]</t>
  </si>
  <si>
    <t>32-090-00-01</t>
  </si>
  <si>
    <t>PERFORM A DETAILED INSPECTION OF THE APU MOUNTS. ACCESS NOTE: APU REMOVAL REQUIRED. [AMM REF 49-13-11-200]</t>
  </si>
  <si>
    <t>49-020-00-01</t>
  </si>
  <si>
    <t>INTERNAL - GENERAL VISUAL: FORWARD ACCESS DOOR INSPECT FORWARD ACCESS DOOR SKIN AND STRUCTURE. ACCESS NOTE: INSPECT WITH DOOR REMOVED. [AMM REF 51-05-01-210 AND 52-05-03-211]</t>
  </si>
  <si>
    <t>52-530-00-01</t>
  </si>
  <si>
    <t>INTERNAL - DETAILED E/E EQUIPMENT COMPARTMENT ACCESS DOOR INSPECT E/E EQUIPMENT COMPARTMENT ACCESS DOOR STOP FITTINGS AND PINS. [AMM REF 51-05-01-210 AND 52-05-03-210]</t>
  </si>
  <si>
    <t>INTERNAL - GENERAL VISUAL E/E EQUIPMENT COMPARTMENT ACCESS DOOR INSPECT E/E EQUIPMENT COMPARTMENT DOOR SKIN AND STRUCTURE. ACCESS NOTE: INSPECT WITH DOOR AND ACCESS PANEL REMOVED. REMOVE DAGGER PINS AS REQUIRED. [AMM REF 51-05-01-210 AND 52-05-03-210]</t>
  </si>
  <si>
    <t>52-570-00-01</t>
  </si>
  <si>
    <t>INTERNAL - GENERAL VISUAL: FORWARD AIR STAIRS DOOR INSPECT FORWARD AIR STAIRS DOOR SKIN AND STRUCTURE. ACCESS NOTE: INSPECT WITH INSULATION BLANKET REMOVED. [AMM REF 51-05-01-210 AND 52-05-03-210]</t>
  </si>
  <si>
    <t>52-600-00-01</t>
  </si>
  <si>
    <t>INTERNAL - DETAILED: ENTRY AND GALLEY SERVICE DOORS INSPECT FORWARD AND AFT ENTRY AND GALLEY SERVICE DOOR STOP FITTINGS AND PINS. [AMM REF 51-05-01-210 AND 52-05-03-211]</t>
  </si>
  <si>
    <t>INTERNAL - GENERAL VISUAL: ENTRY AND GALLEY SERVICE DOORS INSPECT FORWARD AND AFT ENTRY AND GALLEY SERVICE DOOR SKIN AND STRUCTURE. [AMM REF 51-05-01-210 AND 52-05-03-210]</t>
  </si>
  <si>
    <t>52-650-00-01</t>
  </si>
  <si>
    <t>INTERNAL - DETAILED: CARGO DOORS INSPECT FORWARD AND AFT CARGO DOOR STOP FITTINGS AND PINS. ACCESS NOTE: INSPECT WITH INSULATION BLANKET REMOVED. [AMM REF 51-05-01-210 AND 52-05-03-211]</t>
  </si>
  <si>
    <t>52-680-00-01</t>
  </si>
  <si>
    <t>INTERNAL - GENERAL VISUAL: CARGO DOORS INSPECT FORWARD AND AFT CARGO DOOR SKIN AND STRUCTURE. ACCESS NOTE: INSPECT WITH INSULATION BLANKET REMOVED. [AMM REF 51-05-01-210 &amp; 52-05-03-210]</t>
  </si>
  <si>
    <t>52-710-00-01</t>
  </si>
  <si>
    <t>INTERNAL - DETAILED: OVER WING EMERGENCY EXIT HATCHES/ AUTOMATIC OVER WING EXIT DOOR INSPECT OVER WING EXIT HATCH/DOOR STOP FITTINGS AND PINS. ACCESS NOTE: INSPECT WITH HATCHES REMOVED, THE DOOR OPENED OR REMOVED. REMOVE LININGS AND INSULATION. [AMM REF 51-05-01-210 AND 52-05-03-211]</t>
  </si>
  <si>
    <t>52-740-00-01</t>
  </si>
  <si>
    <t>INTERNAL - GENERAL VISUAL: AUTOMATIC OVER WING EXIT DOOR INSPECT AUTOMATIC OVER WING EXIT DOOR SKIN AND STRUCTURE. ACCESS NOTE: INSPECT WITH HATCHES REMOVED, THE DOOR OPENED OR REMOVED. REMOVE LININGS AND INSULATION. [AMM REF 51-05-01-210 AND 52-05-03-210]</t>
  </si>
  <si>
    <t>52-740-00-02</t>
  </si>
  <si>
    <t>INTERNAL - ZONAL (GV): AUTOMATIC OVERWING EXIT. PERFORM AN INTERNAL ZONAL INSPECTION (GV) OF THE AUTOMATIC OVERWING EXIT - SECTION 44, STA 627. ACCESS NOTE: AUTOMATIC OVERWING EXIT DOOR LINER REMOVAL REQUIRED. [AMM REF 05-41-08-210]</t>
  </si>
  <si>
    <t>52-820-01-01</t>
  </si>
  <si>
    <t>EXTERNAL - GENERAL VISUAL: FUSELAGE LOWER LOBE DOOR FRAMES INSPECT DOOR CUTOUTS AT FORWARD ACCESS DOOR, FORWARD AIR STAIRS DOOR, AND FORWARD EE BAY DOOR. ACCESS NOTE: OPEN FORWARD ACCESS DOOR, AIRSTAIRS DOOR AND EE COMPARTMENT DOOR. [AMM REF 51-05-01-210 &amp; 53-05-03-210]</t>
  </si>
  <si>
    <t>53-010-00-01</t>
  </si>
  <si>
    <t>EXTERNAL - GENERAL VISUAL: NOSE WHEEL WELL INSPECT NOSE LANDING GEAR WHEEL WELL INCLUDED CANTED BULKHEAD (STA 224.8 TO 227.8), STA 294.5 BULKHEAD, SIDE AND TOP PANELS, TRUNNION SUPPORT FITTING, ACTUATOR SUPPORT FITTING AND DRAG BRACE FITTING. [AMM REF 51-05-01-210 &amp; 53-05-03-210]</t>
  </si>
  <si>
    <t>53-090-00-01</t>
  </si>
  <si>
    <t>EXTERNAL - GENERAL VISUAL: MAIN LANDING GEAR WHEEL WELL INSPECT MAIN LANDING GEAR WHEEL WELL, INCLUDING: 1. PRESSURE DECK WEB AND STIFFENERS, INCLUDING ATTACHMENT TO WING CENTER SECTION REAR SPAR AT STA 663; 2. BULKHEAD AT STA 663; 3. BULKHEAD AND PRESSURE WEB AT STA 727; 4. KEEL BEAM CHORDS, WEBS, STIFFENERS AND SPLICE, KEEL BEAM/REAR SPAR ATTACHMENT ANGLES; 5. STRINGER 18A WEB, CHORD AND LINKS; 6. SIDE STRUT SUPPORT FRAME AT STA 706; 7. MAIN LANDING GEAR SUPPORT FRAME AT STA 695 AND 716; 8. WHEEL WELL FRAME AT STA 685; 9. FLAP TRACK SUPPORT FITTINGS. [AMM REF 51-05-01-210 &amp; 53-05-03-210]</t>
  </si>
  <si>
    <t>53-050-00-01</t>
  </si>
  <si>
    <t>INTERNAL - GENERAL VISUAL: FORWARD PRESSURE BULKHEAD INSPECT THE FORWARD SIDE OF STA 178 BULK HEAD. ACCESS NOTE: OPEN NOSE RADOME. [AMM REF 51-05-01-210 AND 52-05-03-210]</t>
  </si>
  <si>
    <t>53-060-00-01</t>
  </si>
  <si>
    <t>INTERNAL - GENERAL VISUAL: INSPECT FLIGHT COMPARTMENT FLOOR STRUCTURE FROM LOWER LOBE. ACCESS NOTE: ACCESS THROUGH FORWARD ACCESS DOOR. [AMM REF 51-05-01-210 AND 53-05-03-210]</t>
  </si>
  <si>
    <t>53-080-00-01</t>
  </si>
  <si>
    <t>INTERNAL - GENERAL VISUAL: AREA ABOVE AND OUTBOARD OF NOSE WHEEL WELL INSPECT FUSELAGE LOWER LOBE FROM CANTED BULKHEAD (STA 224.8 TO 227.8) TO STA 294 , INCLUDING: 1. SKIN PANELS (SKINS, FRAMES, STRINGERS), LONGITUDINAL LAP SPLICES,CIRCUMFERENTIAL SKIN AND STRINGER SPLICES, BULKHEAD AT STA 259.5; 2. NOSE WHEEL WELL CUTOUT SURROUND STRUCTURE, NOSE WHEEL WELL SIDE AND TOP PANELS; 3. TRUNNION SUPPORT FITTING, ACTUATOR SUPPORT FITTING AND DRAG BRACE FITTING. [AMM REF 51-05-01-210 AND 53-05-03-210]</t>
  </si>
  <si>
    <t>INTERNAL - GENERAL VISUAL: AREA AFT OF FORWARD CARGO COMPARTMENT INSPECT AREA AFT OF FORWARD CARGO COMPARTMENT. , INCLUDING SKIN PANELS (SKINS, FRAMES, STRINGERS), LONGITUDINAL LAP SPLICES, CIRCUMFERENTIAL SKIN AND STRINGER SPLICES AND FORWARD SIDE OF STA 540 BULKHEAD AND BULKHEAD SPLICES. ACCESS NOTE: REMOVE FORWARD CARGO COMPARTMENT AFT BULKHEAD PANELS, REMOVE/DISPLACE INSULATION BLANKETS AS REQUIRED. REMOVE DUCTING AS REQUIRED. [AMM REF 51-05-01-210 AND 53-05-03-210]</t>
  </si>
  <si>
    <t>53-170-00-01</t>
  </si>
  <si>
    <t xml:space="preserve"> INTERNAL - GENERAL VISUAL: AREA ABOVE WING BOX CENTER SECTION INSPECT FUSELAGE LOWER LOBE ABOVE WING BOX CENTER SECTION UPPER PANEL , INCLUDING SIDE SKIN PANELS (SKINS, FRAMES AND STRINGERS), STA 540 BULKHEAD, AND OVERWING FRAMES AND STUB BEAMS. ACCESS NOTE: REMOVE FLOOR PANELS. REMOVE/DISPLACE INSULATION BLANKETS AS REQUIRED. [AMM REF 51-05-01-210 AND 53-05-03-210]</t>
  </si>
  <si>
    <t>53-190-00-01</t>
  </si>
  <si>
    <t>INTERNAL - GENERAL VISUAL: AREA ABOVE MAIN LANDING GEAR WHEEL WELL INSPECT FUSELAGE LOWER LOBE ABOVE MAIN LANDING GEAR WHEEL WELL, INCLUDING: 1. PRESSURE DECK WEB TO STIFFENERS, STIFFENER ATTACHMENT TO FLOOR BEAM AT STA 727; 2. SIDE SKIN PANELS, CIRCUMFERENTIAL SKIN AND STRINGER SPLICE; 3. BULKHEADS AT STA 663 AND 727; 4. SIDE STRUT SUPPORT FRAME AT STA 706; 5. MAIN LANDING GEAR SUPPORT FRAME AT STA 695 AND 716; 6. WHEEL WELL FRAME AT STA 685. ACCESS NOTE: REMOVE FLOOR PANELS. REMOVE/DISPLACE INSULATION BLANKETS AS REQUIRED. [AMM REF 51-05-01-210 AND 53-05-03-210]</t>
  </si>
  <si>
    <t>53-200-00-01</t>
  </si>
  <si>
    <t>INTERNAL - GENERAL VISUAL: KEEL BEAM UNDER WING-TO-BODY FAIRING (UNDER WING BOX) INSPECT KEEL BEAM UNDER WING-TO-BODY FAIRING (UNDER WING BOX, STA 540 TO 663.75), INCLUDING KEEL BEAM CHORDS, WEBS, STIFFENERS, SPLICE, KEEL BEAM/REAR SPAR ATTACHMENT ANGLES. ACCESS NOTE: OPTION 1: REMOVE CENTER WING-TO-BODY FAIRING (192CL, 192CR, 192E, 192F) AND OPEN AC BAY ACCESS DOOR. OPTION 2: OPEN AC BAY DOOR AND REMOVE AC PACK TO GAIN ACCESS TO ACCESS TO ACCESS HOLES. [AMM REF 51-05-01-210 AND 53-05-03-210]</t>
  </si>
  <si>
    <t>53-210-00-01</t>
  </si>
  <si>
    <t>INTERNAL - GENERAL VISUAL: INSPECT AREA UNDER LOWER WING- TO-BODY FAIRING (AFT OF WHEEL WELL) INCLUDING SKIN PANELS, LONGITUDINAL LAP SPLICES, CIRCUMFERENTIAL SKIN SPLICES, STRINGER 18 STRAP AT SIDE OF BODY, STRINGER 18A (WEB, CHORDS AND LINKS), AND KEEL BEAM EXTENSION. [AMM REF 51-05-01-210 AND 53-05-03-210]</t>
  </si>
  <si>
    <t>53-270-00-01</t>
  </si>
  <si>
    <t>INTERNAL - GENERAL VISUAL: INSPECT AREA UNDER ABOVE WING- TO-BODY FAIRING INCLUDING SKIN PANELS, CIRCUMFERENTIAL SKIN SPLICES, AND STRINGER 18 STRAP AT SIDE OF BODY. [AMM REF 51-05-01-210 AND 53-05-03-210]</t>
  </si>
  <si>
    <t>53-280-00-01</t>
  </si>
  <si>
    <t>EXTERNAL - GENERAL VISUAL: OVERWING EMERGENCY EXIT CUTOUTS INSPECT THE OVERWING EMERGENCY EXIT CUTOUT STRUCTURE, FITTINGS AND STOPS. ACCESS NOTE: OPEN EMERGENCY EXIT DOORS. [AMM REF 51-05-01-210 AND 53-05-03-210]</t>
  </si>
  <si>
    <t>53-290-00-01</t>
  </si>
  <si>
    <t>INTERNAL - GENERAL VISUAL: FLIGHT COMPARTMENT INSPECT FLIGHT COMPARTMENT FLOOR STRUCTURE. ACCESS NOTE: REMOVE SIDEWALLS AND FLOOR PANELS AS REQUIRED. REMOVE/DISPLACE INSULATION BLANKETS AS REQUIRED. [AMM REF 51-05-01-210 AND 53-05-03-210]</t>
  </si>
  <si>
    <t>53-340-00-01</t>
  </si>
  <si>
    <t>INTERNAL - GENERAL VISUAL: INSPECT PASSENGER COMPARTMENT FROM STA 270 TO 360 (EXCEPT AREAS AROUND DOOR CUTOUTS) INCLUDING SKIN PANELS (SKIN, FRAME, STRINGER), LONGITUDINAL LAP SPLICES, CIRCUMFERENTIAL SKIN AND STRINGER SPLICES. ACCESS NOTE: REMOVE GALLEYS/LAVS. REMOVE CABIN INTERIOR AS REQUIRED. REMOVE/DISPLACE INSULATION BLANKETS AS REQUIRED. [AMM REF 51-05-01-210 AND 53-05-02-210]</t>
  </si>
  <si>
    <t>53-350-00-01</t>
  </si>
  <si>
    <t>INTERNAL - GENERAL VISUAL: INSPECT PASSENGER COMPARTMENT FLOOR STRUCTURE IN DRY AREA. (AWAY FROM DOORS, GALLEYS AND LAVS). EXCLUDE FLOOR STRUCTURE FROM STA 540 TO 727. ACCESS NOTE: REMOVE FLOOR PANELS AND SIDEWALLS AS REQUIRED. REMOVE/DISPLACE INSULATION BLANKETS AS REQUIRED. [AMM REF 51-05-01-210 AND 52-05-03-210]</t>
  </si>
  <si>
    <t>53-370-00-01</t>
  </si>
  <si>
    <t>INTERNAL - GENERAL VISUAL: FORWARD PASSENGER COMPARTMENT, STA 360 TO 663.75 INSPECT PASSENGER COMPARTMENT FROM STA 360 TO 663.75, INCLUDING: 1. SKIN PANELS (SKINS, FRAMES AND STRINGERS), LONGITUDINAL LAP SPLICES, CIRCUMFERENTIAL SKIN AND STRINGER SPLICES; 2. WINDOW BELT STRUCTURE; 3. OVERWING EMERGENCY EXIT CUTOUT STRUCTURE; 4. FORWARD CARGO DOOR CUTOUT SURROUND STRUCTURE (PORTION IN UPPER LOBE); 5. STA 540 AND 663 BULKHEADS AND SPLICES; 6. OVERWING FRAMES AND STUB BEAMS. ACCESS NOTE: OPEN EMERGENCY EXIT HATCHES. REMOVE CABIN INTERIOR. REMOVE/DISPLACE INSULATION BLANKETS AS REQUIRED. [AMM REF 51-05-01-210 AND 53-05-03-210]</t>
  </si>
  <si>
    <t>MEC/AV</t>
  </si>
  <si>
    <t>53-400-00-01</t>
  </si>
  <si>
    <t>INTERNAL - GENERAL VISUAL: AFT PASSENGER COMPARTMENT, STA 663.75 TO 1016 INSPECT PASSENGER COMPARTMENT FROM STA 663.75 TO 1016 (EXCEPT AREAS AROUND DOOR CUTOUTS), INCLUDING: 1. SKIN PANELS (SKINS, FRAMES AND STRINGERS), LONGITUDINAL LAP SPLICES, CIRCUMFERENTIAL SKIN AND STRINGER SPLICES; 2. WINDOW BELT STRUCTURE; 3. STA 663 BULKHEAD AND SPLICES; 4. STA 727 BULKHEAD; 5. SIDE STRUT SUPPORT FRAME AT STA 706; 6. MAIN LANDING GEAR SUPPORT FRAMES AT STA 695 AND 716; 7. WHEEL WELL FRAME AT STA 685; 8. AFT CARGO DOOR CUTOUT SURROUND STRUCTURE (PORTION IN UPPER LOBE); 9. FORWARD SIDE OF STA 1016 BULKHEAD (CHORDS, PRESSURE WEB, STIFFENERS, CHORD/WEB ATTACHMENTS), INCLUDING VERTICAL FIN FRONT SPAR FITTINGS; 10. STRINGER SPLICE FITTINGS AND TENSION BOLTS AT VSTA 1016. ACCESS NOTE: REMOVE GALLEYS/LAVS. REMOVE CABIN INTERIOR AS REQUIRED, REMOVE/REPLACE INSULATION BLANKETS AS REQUIRED. [AMM REF 51-05-01-210 AND 53-05-03-210</t>
  </si>
  <si>
    <t>53-410-00-01</t>
  </si>
  <si>
    <t xml:space="preserve"> INTERNAL - GENERAL VISUAL: AREA AFT OF STA 1016 BULKHEAD INSPECT AREA AFT OF STA 1016 PRESSURE BULKHEAD TO STA 1088, INCLUDING: 1. SKIN PANELS (SKINS, FRAMES AND STRINGERS), LONGITUDINAL LAP SPLICES, CIRCUMFERENTIAL SKIN AND STRINGER SPLICES; 2. AFT SIDE OF STA 1016 BULKHEAD (CHORDS, PRESSURE WEB, STIFFENERS, CHORD/WEB ATTACHMENTS); 3. STRINGER SPLICE FITTINGS AND TENSION BOLTS AT STA 1016; 4. STA 1088 BULKHEAD, INCLUDING VERTICAL FIN REAR SPAR FITTINGS AND HORIZONTAL STABILIZER CENTER SECTION JACKSCREW FITTING LUGS AND BOLTS. [AMM REF 51-05-01-210 AND 53-05-03-210]</t>
  </si>
  <si>
    <t>53-420-00-01</t>
  </si>
  <si>
    <t>INTERNAL - GENERAL VISUAL: INSPECT STABILIZER TORSION BOX COMPARTMENT AND APU COMPARTMENT, INCLUDING SKIN PANELS1 SKINS, FRAMES AND STRINGERS, LONGITUDINAL LAP SPLICES, 2. STA 1088 BULKHEAD INCLUDING VERTICAL FIN REAR SPAR FITTING, 3. FORWARD SIDE OF STA 1156 BULKHEAD, INCLUDING HORIZONTAL STABILIZER HINGE FITTINGS AND BOLTS, 4 UPPER HORIZONTAL DECK (AT STRINGER 6) AND LOWER HORIZONTAL DECK (AT STRINGER 12). ACCESS NOTE: FOR AREA BELOW STRINGER 12. REMOVE APU AND FIREWALLS. REMOVE APU PLENUM AS REQUIRED FOR AREA ABOVE STRINGER 12, ADJUST STABILIZER TRIM AS REQUIRED FOR ACCESS TO STA 1156 HORIZONTAL STABILIZER HINGE FITTING LUGS AND BOLTS, REMOVE GAP SEAL AND HORIZONTAL STABILIZER REAR SPAR SLIDING SEAL AS REQUIRED. [AMM REF 51-05-01-210 AND 53-05-03-210]</t>
  </si>
  <si>
    <t>53-430-00-01</t>
  </si>
  <si>
    <t>INTERNAL - GENERAL VISUAL: STA 1156 BULKHEAD INSPECT AFT SIDE OF STA 1156 BULKHEAD. [AMM REF 51-05-01-210 AND 5305-03-210]</t>
  </si>
  <si>
    <t>PERFORM AN INTERNAL ZONAL INSPECTION (GV) OF THE AREA ABOVE THE CENTER SECTION WING BOX- SECTION 44, STA 540 TO STA 663.75. ACCESS NOTE: FLOOR PANELS REMOVAL REQUIRED. INSULATION AS REQUIRED. [AMM REF 05-41-01-210]</t>
  </si>
  <si>
    <t>57-800-00-01</t>
  </si>
  <si>
    <t>INTERNAL - ZONAL (GV): LOWER WING TO BODY FAIRING - AFT OF WHEEL WELL PERFORM AN INTERNAL ZONAL INSPECTION (GV) OF THE LOWER WING TO BODY FAIRING -AFT OF WHEEL WELL.(EZAP). [AMM REF 05-41-01-210]</t>
  </si>
  <si>
    <t>53-852-00-01</t>
  </si>
  <si>
    <t>PERFORM AN INTERNAL ZONAL INSPECTION (GV) OF THE ABOVE WING, WING TO BODY FAIRING - RIGHT PERFORM AN INTERNAL ZONAL INSPECTION (GV) OF THE ABOVE WING, WING TO BODY FAIRING – RIGHT SIDE. [AMM REF 05-41-01-210]</t>
  </si>
  <si>
    <t>53-854-02-01</t>
  </si>
  <si>
    <t>PERFORM AN INTERNAL ZONAL INSPECTION (GV) OF THE ABOVE WING, WING TO BODY FAIRING - LEFT PERFORM AN INTERNAL ZONAL INSPECTION (GV) OF THE ABOVE WING,WING TO BODY FAIRING – LEFT SIDE. [AMM REF 05-41-01-210]</t>
  </si>
  <si>
    <t>53-856-01-01</t>
  </si>
  <si>
    <t>PERFORM AN INTERNAL ZONAL INSPECTION (GV) OF THE FLIGHT CONTROL COMPARTMENT - SECTION 41, STA 178 TO STA 270.5ACCESS NOTE: WITH ACCESS PROVIDED. SEATS REMOVED. CONTROL STAND ACCESS PANELS, OVERHEAD AND SIDEWALL PANELS, AND FLOOR SIDE PANEL REMOVAL REQUIRED. (EZAP) [AMM REF 05-41-02-210]</t>
  </si>
  <si>
    <t xml:space="preserve"> PERFORM AN INTERNAL ZONAL INSPECTION (GV) OF THE PASSENGER COMPARTMENT - AFT OF THE CONTROL COMPARTMENT TO FORWARD ENTRY DOOR - LEFT AND RIGHT - SECTION 41, STA 270 TO STA 360. (EZAP) ACCESS NOTE: WITH ACCESS PROVIDED. GALLEYS AND LAVS REMOVED. FLOOR PANELS, SIDEWALL PANELS, AND CEILING PANELS REMOVAL REQUIRED. [AMM REF 05-41-02-210]</t>
  </si>
  <si>
    <t>53-868-00-01</t>
  </si>
  <si>
    <t>PERFORM AN INTERNAL ZONAL INSPECTION (GV) OF THE FORWARD PASSENGER COMPARTMENT - STA 360 TO STA 663.75 WET AREAS ( WITHIN APPROXIMATELY 20 INCHES FROM GALLEY OR LAV ) LEFT AND RIGHT - SECTION 43 AND 44 (PART) (EZAP) ACCESS NOTE: GALLEYS AND LAVS REMOVED. FLOOR PANELS, SIDEWALL PANELS, AND CEILING PANELS REMOVAL REQUIRED IN AREAS WHERE GALLEYS AND LAVS ARE LOCATED. [AMM REF 05-41-02-210]</t>
  </si>
  <si>
    <t>53-878-00-01</t>
  </si>
  <si>
    <t xml:space="preserve"> PERFORM AN INTERNAL ZONAL INSPECTION (GV) OF THE FORWARD PASSENGER COMPARTMENT - STA 360 TO STA 663.75 DRY AREA (AWAY FROM DOORS, GALLEYS, AND LAVS) - LEFT AND RIGHT - SECTION 43 AND 44 (PART). (EZAP) ACCESS NOTE: FLOOR PANELS, SIDEWALL PANELS, AND CEILING PANELS REMOVAL REQUIRED. [AMM REF 05-41-02-210]</t>
  </si>
  <si>
    <t>53-880-00-01</t>
  </si>
  <si>
    <t>PERFORM AN INTERNAL ZONAL INSPECTION (GV) OF THE AFT PASSENGER COMPARTMENT - STA 663.75 TO THE AFT PRESSURE BULKHEAD WET AREA (WITHIN APPROXIMATELY 20 INCHES FROM GALLEY SERVICE DOORS, PASSENGER DOOR, GALLEY AND LAV) - LEFT AND RIGHT - SECTION 44(PART), AND 47, STA 663.75 TO AFT PRESSURE BULKHEAD. (EZAP) ACCESS NOTE: FLOOR PANELS, SIDEWALL PANELS, AND CEILING PANELS REMOVAL REQUIRED. [AMM REF 05-41-02-210]</t>
  </si>
  <si>
    <t>PERFORM AN INTERNAL ZONAL INSPECTION (GV) OF THE AFT PASSENGER COMPARTMENT - STA 663.75 TO THE AFT PRESSURE BULKHEAD DRY AREA (AWAY FROM DOORS, GALLEYS AND LAVS) LEFT AND RIGHT SECTION 44 (PART), 46, AND 47,STA 663.75 TO AFT PRESSURE BULKHEAD. ACCESS NOTE: FLOOR PANELS, SIDEWALL PANELS, AND CEILING PANELS REMOVAL REQUIRED. [AMM REF 05-41-02-210]</t>
  </si>
  <si>
    <t>53-888-00-01</t>
  </si>
  <si>
    <t>INTERNAL - GENERAL VISUAL: INSPECT LEFT STRUT ATTACH BOLTS AT FORWARD ENGINE MOUNT. ACCESS NOTE: REMOVE FAN COWL. [AMM REF 51-05-01-210 AND 54-05-03-210]</t>
  </si>
  <si>
    <t>54-015-01-01</t>
  </si>
  <si>
    <t>INTERNAL - GENERAL VISUAL: INSPECT RIGHT STRUT ATTACH BOLTS AT FORWARD ENGINE MOUNT. ACCESS NOTE: REMOVE FAN COWL. [AMM REF 51-05-01-210 AND 54-05-03-210]</t>
  </si>
  <si>
    <t>54-020-01-01</t>
  </si>
  <si>
    <t>INTERNAL - DETAILED: LEFT STRUT TO WING ATTACHMENTS INSPECT THE BORES OF PINS AND FUSE PINS ON UPPER LINK, MID SPAR, DIAGONAL BRACE, AND SIDE LINKS. PIN REMOVAL IS NOT REQUIRED. ACCESS NOTE: TR'S MUST BE OPEN TO REMOVE ACCESS PANELS 431EL AND 431ER. [AMM REF 51-05-01-210 AND 54-05-03-211]</t>
  </si>
  <si>
    <t>54-060-01-01</t>
  </si>
  <si>
    <t>INTERNAL - DETAILED: RIGHT STRUT TO WING ATTACHMENTS INSPECT THE BORES OF PINS AND FUSE PINS ON UPPER LINK, MID SPAR, DIAGONAL BRACE, AND SIDE LINKS. PIN REMOVAL IS NOT REQUIRED. ACCESS NOTE: TR'S MUST BE OPEN TO REMOVE ACCESS PANELS 441EL AND 441ER. [AMM REF 51-05-01-210 AND 54-05-03-211]</t>
  </si>
  <si>
    <t>54-060-02-01</t>
  </si>
  <si>
    <t>INTERNAL - GENERAL VISUAL: LEFT STRUT BOX INSPECT EXTERNAL AREAS OF STRUT BOX, INCLUDING UPPER AND LOWER SPARS, FORWARD ENGINE MOUNT BULKHEAD, AFT BULKHEAD, AND SIDE SKINS. ACCESS NOTE: REMOVE MID AND AFT INSULATION BLANKET/HEAT SHIELDS. REMOVE FAN COWLS. TR’S MUST BE OPEN TO REMOVE ACCESS PANELS 431EL AND 431ER. ENGINE REMOVAL NOT REQUIRED [AMM REF 51-05-01-210 AND 54-05-03-210]</t>
  </si>
  <si>
    <t>54-070-01-01</t>
  </si>
  <si>
    <t>INTERNAL - GENERAL VISUAL: RIGHT STRUT BOX INSPECT EXTERNAL AREAS OF STRUT BOX, INCLUDING UPPER AND LOWER SPARS, FORWARD ENGINE MOUNT BULKHEAD, AFT BULKHEAD, AND SIDE SKINS. ACCESS NOTE: REMOVE INSULATION BLANKET/ HEAT SHIELDS. REMOVE FAN COWLS. TR'S MUST BE OPEN TO REMOVE ACCESS PANELS 441EL AND 441ER ENGINE REMOVAL NOT REQUIRED. [AMM REF 51-05-01-210 AND 54-05-03-210]</t>
  </si>
  <si>
    <t>54-070-02-01</t>
  </si>
  <si>
    <t>INTERNAL - GENERAL VISUAL: LEFT STRUT BOX INSPECT INTERNAL AREAS OF STRUT BOX, INCLUDING UPPER AND LOWER SPARS, FORWARD AND AFT ENGINE MOUNT BULKHEADS, AFT AND MID BULKHEADS, AND SIDE SKINS. ACCESS NOTE: DISASSEMBLE PNEUMATIC DUCTS AS REQUIRED. REMOVE STRUT BOX ACCESS PANELS (FOUR ON TOP, TWO ON SIDE). TR'S MUST BE OPEN TO REMOVE ACCESS PANELS 431EL AND 431ER. [AMM REF 51-05-01-210 AND 54-05-03-210]</t>
  </si>
  <si>
    <t>54-080-01-01</t>
  </si>
  <si>
    <t>INTERNAL - GENERAL VISUAL: RIGHT STRUT BOX INSPECT INTERNAL AREAS OF STRUT BOX, INCLUDING UPPER AND LOWER SPARS, FORWARD AND AFT ENGINE MOUNT BULKHEADS, AFT AND MID BULKHEADS, AND SIDE SKINS. ACCESS NOTE: DISASSEMBLE PNEUMATIC DUCTS AS REQUIRED. REMOVE STRUT BOX ACCESS PANELS (FOUR ON TOP, TWO ON SIDE). TRS MUST BE OPEN TO REMOVE ACCESS PANELS 441EL AND 441ER. [AMM REF 51-05-01-210 AND 54-05-03-210]</t>
  </si>
  <si>
    <t>54-080-02-01</t>
  </si>
  <si>
    <t xml:space="preserve"> INTERNAL - GENERAL VISUAL: HORIZONTAL STABILIZER CENTER SECTION INSPECT HORIZONTAL STABILIZER CENTER SECTION JACKSCREW FITTING. [AMM REF 51-05-01-210 AND 55-05-03-210]</t>
  </si>
  <si>
    <t>55-010-00-01</t>
  </si>
  <si>
    <t>INTERNAL - GENERAL VISUAL: STABILIZER TORSION BOX COMPARTMENT INSPECT HORIZONTAL STABILIZER CENTER SECTION FRONT SPAR, REAR SPAR, PIVOT FITTINGS, AND PRIMARY AND SECONDARY THRUST BEAMS. ACCESS NOTE: ADJUST STABILIZER TRIM AS REQUIRED. REMOVE GAP SEAL AND REAR SPAR SLIDING SEAL TO INSPECT PIVOT FITTINGS. [AMM REF 51-05-01-210 AND 55-05-03-210]</t>
  </si>
  <si>
    <t>55-020-00-01</t>
  </si>
  <si>
    <t>INTERNAL - GENERAL VISUAL: VERTICAL FIN TRAILING EDGE INSPECT AFT SIDE OF VERTICAL FIN REAR SPAR, INCLUDING REAR SPAR CHORDS AND WEBS, AND RUDDER HINGE RIBS. [AMM REF 51-05-01-210 AND 55-05-03-210]</t>
  </si>
  <si>
    <t>55-030-00-01</t>
  </si>
  <si>
    <t>INTERNAL - DETAILED: LEFT ELEVATOR HINGE, ACTUATOR, AND TAB MAST ARM FITTINGS AND BALANCE WEIGHT SUPPORT STRUCTURE. INSPECT THE LEFT ELEVATOR HINGE FITTINGS, LEFT ELEVATOR ACTUATOR FITTINGS, LEFT ELEVATOR BALANCE WEIGHT SUPPORT STRUCTURE, LEFT ELEVATOR TAB MAST ARM FITTING AND LEFT ELEVATOR TAB HINGE FITTINGS. ACCESS NOTE: REMOVE LOWER TRAILING EDGE PANELS AND DISCONNECT BALANCE BAYS. REMOVE ELEVATOR HINGE COVER PLATES. ALTERNATIVE - REMOVE ELEVATOR FROM HORIZONTAL STABILIZER. FOR ELEVATOR TAB MAST ARM FITTINGS, REMOVE FAIRING ON UPPER SURFACE OF ELEVATOR TO GAIN ACCESS. [AMM REF 51-05-01-210 AND 55-05-03-211]</t>
  </si>
  <si>
    <t>55-135-01-01</t>
  </si>
  <si>
    <t>INTERNAL - DETAILED: RIGHT ELEVATOR HINGE, ACTUATOR, AND TAB MAST ARM FITTINGS AND BALANCE WEIGHT SUPPORT STRUCTURE. INSPECT THE RIGHT ELEVATOR HINGE FITTINGS, RIGHT ELEVATOR ACTUATOR FITTINGS, RIGHT ELEVATOR BALANCE WEIGHT SUPPORT STRUCTURE, RIGHT ELEVATOR TAB MAST ARM FITTING AND RIGHT ELEVATOR TAB HINGE FITTINGS. ACCESS NOTE: REMOVE LOWER TRAILING EDGE PANELS AND DISCONNECT BALANCE BAYS. REMOVE ELEVATOR HINGE COVER PLATES. ALTERNATIVE - REMOVE ELEVATOR FROM HORIZONTAL STABILIZER. FOR ELEVATOR TAB MAST ARM FITTINGS, REMOVE FAIRING ON UPPER SURFACE OF ELEVATOR TO GAIN ACCESS. [AMM REF 51-05-01-210 AND 55-05-03-211]</t>
  </si>
  <si>
    <t>55-135-02-01</t>
  </si>
  <si>
    <t>PERFORM AN INTERNAL ZONAL INSPECTION (GV) OF THE VERTICAL FIN - LEADING EDGE. [AMM REF 05-41-03-210]</t>
  </si>
  <si>
    <t>55-808-00-01</t>
  </si>
  <si>
    <t xml:space="preserve"> INTERNAL - GENERAL VISUAL: WING CENTER SECTION INSPECT FORWARD SIDE OF WING CENTER SECTION FRONT SPAR, INCLUDING THE SIDE OF BODY/TERMINAL FITTING. ACCESS NOTE: REMOVE AFT PANELS IN FORWARD CARGO COMPARTMENT. [AMM REF 51-05-01-210 AND 57-05-03-210]</t>
  </si>
  <si>
    <t>57-010-00-01</t>
  </si>
  <si>
    <t>INTERNAL - GENERAL VISUAL: WING CENTER SECTION INSPECT INSIDE WING CENTER SECTION: 1. UPPER SURFACE (INCLUDING SKINS, TYPICAL AND VENT STRINGERS, SPLICE STRINGER, AT ATTACHMENT TP FLOOR BEAMS); 2. LOWER SURFACE (INCLUDING SKINS, TYPICAL STRINGERS, SPLICE STRINGERS, AT ATTACHMENT TO KEEL BEAM, AT DRAIN INSTALLATION, AT ACCESS HOLE, AT ATTACHMENT TO FUSELAGE DRAG ANGLE, AT ATTACHMENT TO LOWER BEAM AT BL 41); 3. FRONT AND READ SPARS (INCLUDING WEBS AND STIFFENERS, UPPER AND LOWER SPAR CHORDS, ATTACHMENT TO SKIN); 4. SIDE OF BODY RIB (INCLUDING WEBS AND STIFFENERS, UPPER RIB CHORD, LOWER TEE CHORD, FRONT AND REAR SPAR TERMINAL FITTINGS, SPLICE FITTINGS), 5. SPAN WISE BEAMS. [AMM REF 51-05-01-210 AND 57-05-03-210]</t>
  </si>
  <si>
    <t>57-020-00-01</t>
  </si>
  <si>
    <t>INTERNAL - GENERAL VISUAL: WING CENTER SECTION INSPECT UPPER SIDE OF UPPER WING SURFACE: 1. UPPER PANEL, INCLUDING AT ATTACHMENTS, FRONT AND REAR SPAR UNDER CHORDS, AND SIDE OF BODY UPPER RIB CHORD; 2. FLOOR BEAMS FROM STA 540 TO STA 727, INCLUDING AT FLOOR BEAM ATTACHMENTS; 3. INSPECT FOR CONDITION OF SECONDARY VAPOUR BARRIER. ACCESS NOTE: REMOVE FLOOR PANELS AND INSULATION AS REQUIRED IN PASSENGER COMPARTMENT AS REQUIRED FOR ACCESS. [AMM REF 51-05-01-210 AND 57-05-03-210]</t>
  </si>
  <si>
    <t>57-090-00-01</t>
  </si>
  <si>
    <t>INTERNAL - GENERAL VISUAL: LEFT OUTBOARD WING LEADING EDGE STRUCTURE INSPECT LEFT WING LEADING EDGE CAVITY, INCLUDING FLAPS AND SLATS. ACCESS NOTE: EXTEND SLATS AND KRUEGER FLAPS. [AMM REF 51-05-01-210 AND 57-05-03-210]</t>
  </si>
  <si>
    <t>57-130-01-01</t>
  </si>
  <si>
    <t>INTERNAL - GENERAL VISUAL: RIGHT OUTBOARD WING LEADING EDGE STRUCTURE INSPECT RIGHT WING LEADING EDGE CAVITY, INCLUDING FLAPS AND SLATS. ACCESS NOTE: EXTEND SLATS AND KRUEGER FLAPS. [AMM REF 51-05-01-210 AND 57-05-03-210]</t>
  </si>
  <si>
    <t>57-130-02-01</t>
  </si>
  <si>
    <t>INTERNAL - GENERAL VISUAL: LEFT OUTBOARD WING INSPECT INSIDE LEFT OUTBOARD WING FROM SIDE OF BODY RIB TO RIB 5: 1. SIDE OF BODY (INCLUDING WEBS AND STIFFENERS, UPPER RIB CHORD, LOWER TEE CHORD, SPLICE FITTINGS TERMINAL FITTINGS AT FRONT AND REAR SPARS). 2, UPPER AND LOWER SURFACES (INCLUDING INSTALLATION, SKINS, TYPICAL SPLICE VENT AND RAIL STRINGERS AT DRAIN INSTALLATIONS, AT ATTACHMENTS TO FRONT AND REAR SPARS, AT ATTACHMENT TO SHEAR TIED RIBS AND SUPPORT FITTINGS; 3. FRONT AND REAR SPAR CHORDS, WEBS, STIFFENERS AND RIB POSTS; 4. SHEAR AND NON-SHEAR TIED RIBS. SPECIAL NOTE: ACCOMPLISHING THIS STRUCTURES INSPECTION TASK CARD ALSO SATISFIES PSE # 57-20-13-2. [AMM REF 51-05-01-210 AND 57-05-03-210]</t>
  </si>
  <si>
    <t>Onalenna</t>
  </si>
  <si>
    <t>57-170-01-01</t>
  </si>
  <si>
    <t>INTERNAL - GENERAL VISUAL: RIGHT OUTBOARD WING INSPECT INSIDE RIGHT OUTBOARD WING FROM SIDE OF BODY RIB TO RIB 5: 1. SIDE OF BODY RIB (INCLUDING WEBS AND STIFFENERS, UPPER RIB CHORD, LOWER TEE CHORD, SPLICE FITTINGS, TERMINAL FITTINGS AT FRONT AND REAR SPARS); 2. UPPER AND LOWER SURFACES (INCLUDING SKINS, TYPICAL SPLICE VENT AND RAIL STRINGERS, AT ATTACHMENTS TO SHEAR TIED RIBS AND SUPPORT FITTINGS); 3. FRONT AND REAR SPAR CHORDS, WEBS, STIFFENERS AND RIB POSTS; 4. SHEAR TIED AND NON-TIED RIBS. SPECIAL NOTE: ACCOMPLISHING THIS STRUCTURES INSPECTION TASK CARD ALSO SATISFIES PSE # 57-20-13-2. [AMM REF 51-05-01-210 AND 57-05-03-210]</t>
  </si>
  <si>
    <t>57-170-02-01</t>
  </si>
  <si>
    <t>INTERNAL - GENERAL VISUAL: LEFT OUTBOARD WING INSPECT INSIDE LEFT OUTBOARD WING FROM RIB 5 TO RIB 22: 1. UPPER AND LOWER SURFACES(INCLUDING SKINS, TYPICAL SPLICE, VENT AND RAIL STRINGERS AT ATTACHMENTS TO FRONT AND REAR SPARS AT ATTACHMENTS TO SHEAR TIED RIBS AND SUPPORT FITTINGS AT ATTACHMENT TO NACELLE FITTINGS AT DRAIN INSTALLATIONS; 2. FRONT SPAR CHORDS, WEBS, STIFFENERS; 3. REAR SPAR CHORDS, WEBS, STIFFENERS AND RIB POSTS, FLAP TRACK SUPPORT FITTINGS; 4. SHEAR TIED AND NON-SHEAR TIED RIBS (INCLUDING RIB 6 STRUCTURAL DOORS, RIBS 6 AND 7 AT NACELLE SUPPORT FITTINGS, RIBS 10 AND 14 AT FLAP TRACK SUPPORT FITTINGS); 5. NACELLE SUPPORT FITTINGS (R2 BACKUP LINK, 4A BACKUP LINK, R7/8 BACKUP FITTING). SPECIAL NOTE: ACCOMPLISHING THIS STRUCTURE INSPECTION TASK CARD ALSO SATISFIES PSE# 57-20-13-2. ACCESS NOTE: DO NOT REMOVE THE 532AZ AND THE 532BZ ACCESS DOORS AT THE SAME TIME. [AMM REF 51-05-01-210 AND 57-05-03-210]</t>
  </si>
  <si>
    <t>57-180-01-01</t>
  </si>
  <si>
    <t>INTERNAL - GENERAL VISUAL: RIGHT OUTBOARD WING INSPECT INSIDE RIGHT OUTBOARD WING FROM RIB 5 TO RIB 22: 1 UPPER AND LOWER SURFACES (INCLUDING SKINS, TYPICAL SPLICE, VENT AND RAIL STRINGERS, AT ATTACHMENTS TO FRONT AND REAR SPARS, AT ATTACHMENTS TO SHEAR TIED RIBS AND SUPPORT FITTINGS, AT ATTACHMENT TO NACELLE FITTINGS, AT DRAIN INSTALLATIONS); 2. FRONT SPAR CHORDS, WEBS, STIFFENERS AND POSTS, INCLUDING AT NACELLE FITTING ATTACHMENTS; 3. REAR SPAR CHORDS, WEBS, STIFFENERS AND RIB POSTS, FLAP TRACK SUPPORT FITTINGS, INCLUDING REAR SPAR AT MAJOR FITTING ATTACHMENTS; 4. SHEAR TIED AND NON-SHEAR TIED RIBS (INCLUDING RIB 6 STRUCTURAL DOORS RIBS 6 AND 7 AT NACELLE SUPPORT FITTINGS RIBS 12 AND 14 AT FLAP TRACK SUPPORT FITTING); 5. NACELLE SUPPORT FITTINGS (R2 BACKUP LINK R4 BACK UP LINK, R7/8 BACKUP FITTING). ACCESS NOTE: DO NOT REMOVE THE 632AZ AND 632BZ ACCESS DOORS AT THE SAME TIME. SPECIAL NOTE: ACCOMPLISHING THIS STRUCTURES INSPECTION TASK CARD ALSO SATISFIES PSE # 57-20-13-2. [AMM REF 51-05-01-210 AND 57-05-03-210]</t>
  </si>
  <si>
    <t>57-180-02-01</t>
  </si>
  <si>
    <t>INTERNAL - GENERAL VISUAL: LEFT OUTBOARD WING INSPECT INSIDE LEFT OUTBOARD WING SURGE TANK AND DRY BAY (FROM RIB 22 TO RIB 27), INCLUDING UPPER AND LOWER SKINS, STRINGERS, FRONT AND REAR SPARS, RIB POSTS, WBL 656.17 CLOSURE RIB SHEAR TIED AND NON-SHEAR TIED RIBS AND ACCESS HOLES. SPECIAL NOTE: ACCOMPLISHING THIS STRUCTURE INSPECTION TASK CARD ALSO SATISFIES PSE# 57-20-04/-05/-16/-17, PSE# 57-20-05-8, PSE# 57-20-05-9, AND PSE# 57-20-13-2. [AMM REF 51-05-01-210 AND 57-05-03-210]</t>
  </si>
  <si>
    <t>57-190-01-01</t>
  </si>
  <si>
    <t xml:space="preserve"> INTERNAL - GENERAL VISUAL: RIGHT OUTBOARD WING INSPECT INSIDE RIGHT OUTBOARD WING SURGE TANK AND DRY BAY (FROM RIB 22 TO RIB 27), INCLUDING UPPER AND LOWER SKINS, STRINGERS, FRONT AND REAR SPARS, RIB POSTS, WBL 656.17 CLOSURE RIB SHEAR TIED AND NON-SHEAR TIED RIBS AND ACCESS HOLES. SPECIAL NOTE: ACCOMPLISHING THIS STRUCTURE INSPECTION TASK CARD ALSO SATISFIES PSE# 57-20-04/-05/-16/-17, PSE# 57-20-05-8, PSE# 57-20-05-9, AND PSE# 57-20-13-2. [AMM REF 51-05-01-210 AND 57-05-03-210]</t>
  </si>
  <si>
    <t>57-190-02-01</t>
  </si>
  <si>
    <t>INTERNAL - GENERAL VISUAL: LEFT INBOARD FLAP INSPECT LEFT INBOARD FLAP INTERNALLY: 1. FRONT SPAR (AFT SIDE), REAR SPAR (FORWARD SIDE), IN SPAR RIBS, TORQUE TUBE, TORQUE TUBE RIBS, 2. AFT FLAP TRACK SUPPORT ASSY ATTACHMENT ON MAIN FLAP REAR SPAR. AMM REF 51-05-01-210 AND 57-05-03-210]</t>
  </si>
  <si>
    <t>57-300-01-01</t>
  </si>
  <si>
    <t>INTERNAL - GENERAL VISUAL: RIGHT INBOARD FLAP INSPECT RIGHT INBOARD FLAP INTERNALLY: 1. FRONT SPAR (AFT SIDE), REAR SPAR (FORWARD SIDE), IN SPAR RIBS, TORQUE TUBE, TORQUE TUBE RIBS, 2. AFT FLAP TRACK SUPPORT ASSY ATTACHMENT ON MAIN FLAP REAR SPAR. [AMM REF 51-05-01-210 AND 57-05-03-210]</t>
  </si>
  <si>
    <t>57-300-02-01</t>
  </si>
  <si>
    <t>INTERNAL - GENERAL VISUAL: LEFT OUTBOARD FLAP INSPECT LEFT OUTBOARD FLAP INTERNALLY: 1. FRONT SPAR (AFT SIDE), INCLUDING SUPPORT FITTINGS AT WBL 254 AND 358, 2. REAR SPAR (FORWARD SIDE), 3. IN SPAR RIBS AND AFT FLAP TRACK SUPPORT RIBS. ACCESS NOTE: DEPLOY AFT FLAP SO THAT AFT FLAP TRACKS DO NOT BLOCK VIEW OF REAR SPAR LOWER CHORD.[AMM REF 51-05-01-210 AND 57-05-03-210]</t>
  </si>
  <si>
    <t>57-330-01-01</t>
  </si>
  <si>
    <t>INTERNAL - GENERAL VISUAL: RIGHT OUTBOARD FLAP. INSPECT RIGHT OUTBOARD FLAP INTERNALLY: 1. FRONT SPAR (AFT SIDE), INCLUDING SUPPORT FITTINGS AT WBL 254 AND 358, 2. REAR SPAR (FORWARD SIDE), 3. IN SPAR RIBS AND AFT FLAP TRACK SUPPORT RIBS. ACCESS NOTE: REMOVE MAIN FLAP UPPER SKIN AND NOSE SKIN BETWEEN WBL 254 AND 358DEPLOY AFT FLAP SO THAT AFT FLAP TRACKS DO NOT BLOCK VIEW OF REAR SPAR LOWER CHORD. [AMM REF 51-05-01-210 AND 57-05-03-210]</t>
  </si>
  <si>
    <t>57-330-02-01</t>
  </si>
  <si>
    <t>PERFORM AN INTERNAL ZONAL INSPECTION (GV) OF THE CENTER SECTION WING BOX - SECTION 44, STA 540 TO STA 663.75. [AMM REF 05-41-01-210]</t>
  </si>
  <si>
    <t>PERFORM AN INTERNAL ZONAL INSPECTION (GV) OF THE CENTER FUEL TANK - LEFT WING. [AMM REF 05-41-05-210]</t>
  </si>
  <si>
    <t>57-822-01-01</t>
  </si>
  <si>
    <t>PERFORM AN INTERNAL ZONAL INSPECTION (GV) OF THE MAIN FUEL TANK - L. WING. ACCESS NOTE: CAUTION: DO NOT REMOVE 532AZ AND 532BZ AT THE SAME TIME. [AMM REF 05-41-05-210]</t>
  </si>
  <si>
    <t>57-826-01-01</t>
  </si>
  <si>
    <t>PERFORM AN INTERNAL ZONAL INSPECTION (GV) OF THE SURGE TANK - LEFT WING. [AMM 05-41-05-210]</t>
  </si>
  <si>
    <t>57-830-01-01</t>
  </si>
  <si>
    <t>PERFORM AN INTERNAL ZONAL INSPECTION (GV) OF THE FIXED TRAILING EDGE - LEFT WING. [AMM REF 05-41-05-210]</t>
  </si>
  <si>
    <t>57-866-01-01</t>
  </si>
  <si>
    <t xml:space="preserve"> PERFORM AN INTERNAL ZONAL INSPECTION (GV) OF THE CENTER FUEL TANK - RIGHT WING. [AMM REF 05-41-06-210]</t>
  </si>
  <si>
    <t>57-892-02-01</t>
  </si>
  <si>
    <t>PERFORM AN INTERNAL ZONAL INSPECTION (GV) OF THE MAIN FUEL TANK -RIGHT WING. ACCESS NOTE: CAUTION: DO NOT REMOVE 632AZ AND 632BZ AT THE SAME TIME. [AMM REF 05-41-06-210]</t>
  </si>
  <si>
    <t>57-896-02-01</t>
  </si>
  <si>
    <t>PERFORM AN INTERNAL ZONAL INSPECTION (GV) OF THE SURGE TANK - RIGHT WING. [AMM REF 05-41-06-210]</t>
  </si>
  <si>
    <t>57-900-02-01</t>
  </si>
  <si>
    <t>PERFORM AN INTERNAL ZONAL INSPECTION (GV) OF THE FIXED TRAILING EDGE - RIGHT WING. [AMM REF 05-41-06-210]</t>
  </si>
  <si>
    <t>BBJ APP F-2 900 Flight Hour Inspection</t>
  </si>
  <si>
    <t>INSPECT (GENERAL VISUAL) THE CARGO COMPARTMENT FLOOR, CEILING, AND SIDEWALL PANELS/LINERS FOR HOLES/TEARS, CONDITION, AND SECURITY. ACCESS NOTE: ONLY VISIBLE AREAS WITH FUEL TANKS INSTALLED. [AMM REF 25-52-00-200]</t>
  </si>
  <si>
    <t>REPLACE THE A HYDRAULIC SYSTEM ELECTRIC MOTOR DRIVEN PUMPED (EMDP) CASE DRAIN FILTER. [AMM REF 29-11-41-400 AND 29-11-41-000]</t>
  </si>
  <si>
    <t>29-030-01-01</t>
  </si>
  <si>
    <t>REPLACE THE B HYDRAULIC SYSTEM ELECTRIC MOTOR DRIVEN PUMPED (EMDP) CASE DRAIN FILTER. [AMM REF 29-11-41-400 AND 29-11-41-000]</t>
  </si>
  <si>
    <t>29-030-02-01</t>
  </si>
  <si>
    <t>INSPECT (GENERAL VISUAL) THE DELTA P INDICATION OF A AND B SYSTEM RETURN FILTER MODULE. [AMM REF 29-11-61-210]</t>
  </si>
  <si>
    <t>29-090-00-01</t>
  </si>
  <si>
    <t>DETAILED INSPECTION THE LEFT INLET COWL INNER SURFACE. [AMM REF 71-11-01-200]</t>
  </si>
  <si>
    <t>71-010-01-01</t>
  </si>
  <si>
    <t>DETAILED INSPECTION THE RIGHT INLET COWL INNER SURFACE. [AMM REF 71-11-01-200]</t>
  </si>
  <si>
    <t>71-010-02-01</t>
  </si>
  <si>
    <t>BBJ APP F-3 1000 Flight Hour Inspection</t>
  </si>
  <si>
    <t>GALLEY EQUIPMENT-DETAILED CLEANING - AFT GALLEY - MICROWAVE (WAVEJET). [AS PER OMM, CHAP 05-10-00, CHAP 25-30]</t>
  </si>
  <si>
    <t>GALLEY WASTE COMPARTMENT DOOR- WASTE BIN LOCATION - CREW GALLEY - DETAILED INSPECTION. [AS PER OMM, CHAP 05-10-00, CHAP 25-30]</t>
  </si>
  <si>
    <t>GALLEY WASTE COMPARTMENT DOOR - WASTE BIN LOCATION - AFT GALLEY - DETAILED INSPECTION. [AS PER OMM, CHAP 05-10-00, CHAP 25-30]</t>
  </si>
  <si>
    <t>FIRE EXTINGUISHER – GENERAL VISUAL CHECK – FIRE EXTINGUISHER IN WASTE BINS LOCATED IN THE – CREW LAVATORY (EXISTING). [AS PER OMM, CHAP 05-10-00, CHAP 26-30]</t>
  </si>
  <si>
    <t>FIRE EXTINGUISHER – GENERAL VISUAL CHECK – FIRE EXTINGUISHER IN WASTE BINS LOCATED IN THE – MASTER BATHROOM. [AS PER OMM, CHAP 05-10-00, CHAP 26-30]</t>
  </si>
  <si>
    <t>FIRE EXTINGUISHER – GENERAL VISUAL CHECK – FIRE EXTINGUISHER IN WASTE BINS LOCATED IN THE – EXECUTIVE BATHROOM. [AS PER OMM, CHAP 05-10-00, CHAP 26-30]</t>
  </si>
  <si>
    <t>FIRE EXTINGUISHER – GENERAL VISUAL CHECK – FIRE EXTINGUISHER IN BACK OF THE WASTE BINS LOCATED IN THE – CREW GALLEY. [AS PER OMM, CHAP 05-10-00, CHAP 26-30]</t>
  </si>
  <si>
    <t>LAVATORY WASTE AND COMPARTMENT DOORS - VISUAL CHECK - WASTE BIN LOCATION - CREW LAVATORY (EXISTING). [AS PER OMM, CHAP 05-10-00, CHAP 25-40]</t>
  </si>
  <si>
    <t>LAVATORY WASTE AND COMPARTMENT DOORS - VISUAL CHECK - WASTE BIN LOCATION - MASTER BATHROOM. [AS PER OMM, CHAP 05-20-00, CHAP 25-40]</t>
  </si>
  <si>
    <t>LAVATORY WASTE AND COMPARTMENT DOORS - VISUAL CHECK - WASTE BIN LOCATION - EXECUTIVE BATHROOM. [AS PER OMM, CHAP 05-2-00, CHAP 25-40]</t>
  </si>
  <si>
    <t>CLEAN OR REPLACE THE CABIN TEMPERATURE SENSOR FILTERS (737-700 IGW HAS ONE EACH IN THE CONTROL AND PASSENGER CABIN, 737-800/900ER HAS 3 FILTERS). [AMM REF 21-61-06-100, 21-61-06-000 AND 21-61-06-400]</t>
  </si>
  <si>
    <t>21-150-00-01</t>
  </si>
  <si>
    <t>INSPECT (DETAIL) THE LAVATORY WASTE COMPARTMENT FLAPPER DOOR AND THE WASTE COMPARTMENT ACCESS DOOR LATCHING MECHANISM FOR WEAR, CONDITION AND SECURITY. NOTE INSPECT THE WASTE RECEPTACLES PER AD 74-08-09R2 AT AN INTERVAL NOT TO EXCEED 1000 HOURS [AMM REF 25-40-08-200]</t>
  </si>
  <si>
    <t>CHECK BRAKE ACCUMULATOR PRECHARGE PRESSURE, SERVICE AS REQUIRED. [AMM REF 12-15-11-610 AND 12-15-11-420]</t>
  </si>
  <si>
    <t>PERFORM OPERATIONAL CHECK (BITE) ON THE LEFT ENGINE EAU. [AMM REF 78-31-00-700]</t>
  </si>
  <si>
    <t>PERFORM OPERATIONAL CHECK (BITE) OF THE RIGHT ENGINE EAU. [AMM REF 78-31-00-700]</t>
  </si>
  <si>
    <t>BBJ APP F-4 2000 Flight Hour Inspection</t>
  </si>
  <si>
    <t>WATER/ WASTE SYSTEM -DETAILED INSPECTION - IWPU PROCEDURE. [AS PER OMM, CHAP 05-10-00, CHAP 38-00]</t>
  </si>
  <si>
    <t>REPLACE THE A SYSTEM EDP CASE DRAIN FILTERS. [AMM REF 29-11-51-400 AND 29-11-51-000]</t>
  </si>
  <si>
    <t>REPLACE THE B SYSTEM EDP CASE DRAIN FILTERS. [AMM REF 29-11-51-400 AND 29-11-51-000]</t>
  </si>
  <si>
    <t>VISUALLY (CROSS) CHECK THE FLIGHT CREW OXYGEN CYLINDER PRESSURE INDICATOR AND THE CONTROL COMPARTMENT FLIGHT CREW OXYGEN INDICATOR. [AMM REF 35-12-00-710]</t>
  </si>
  <si>
    <t>INSPECT (DETAILED) THE AIR STAIR SYSTEM (EXTENDED) FOR CONDITION. AIRPLANE NOTE: IF AIRSTRAIRS SYSTEM INCLUDING AIRSTAIRS INSTALLED. [AMM REF 52-61-00-210]</t>
  </si>
  <si>
    <t>BBJ APP F-6 3000 Flight Hour Inspection</t>
  </si>
  <si>
    <t>OPERATIONALLY CHECK THE ALTERNATE E/E COOLING SUPPLY FAN AND CHECK VALVE. [AMM REF 21-27-00-890]</t>
  </si>
  <si>
    <t>OPERATIONALLY CHECK THE ALTERNATE E/E COOLING EXHAUST FAN AND CHECK VALVE. [AMM REF 21-27-00-700]</t>
  </si>
  <si>
    <t>OPERATION CHECK OF OXYGEN MASK MICROPHONE [AMM REF 23-51-00-710]</t>
  </si>
  <si>
    <t>INSPECT (DETAILED) THE CAPTAINS SEAT TRACKS AND LOCKING MECHANISM FOR WEAR, CONDITION, AND SECURITY. [AMM REF 25-11-01-200]</t>
  </si>
  <si>
    <t>INSPECT (DETAILED) THE FIRST OFFICERS SEAT TRACKS AND LOCKING MECHANISM FOR WEAR, CONDITION, AND SECURITY. [AMM REF 25-11-01-200]</t>
  </si>
  <si>
    <t>INSPECT (DETAILED) THE ATTENDANT SEAT HARNESS AND ATTACHMENTS WITHOUT REMOVAL FOR WEAR, CONDITION, AND SECURITY. [AMM REF 25-25-12-200]</t>
  </si>
  <si>
    <t>OPERATIONAL CHECK THE ATTENDANT SEAT HARNESS INERTIA REEL LOCK FEATURE. [AMM REF 25-25-12-710]</t>
  </si>
  <si>
    <t>PERFORM A GENERAL VISUAL INSPECTION OF THE FORWARD AILERON MECHANICAL COMPONENTS. [AMM REF 27-11-00-210]</t>
  </si>
  <si>
    <t>PERFORM A GENERAL VISUAL INSPECTION OF THE LEFT WING AILERON MECHANICAL COMPONENTS FROM THE AILERON PCU'S TO THE AILERON AND THE FLIGHT SPOILER MECHANICAL CONTROL PATH. [AMM REF 27-11-00-210]</t>
  </si>
  <si>
    <t>BBJ APP F-7 4000 Flight Hour Inspection</t>
  </si>
  <si>
    <t>PERFORM A GENERAL VISUAL INSPECTION OF THE RIGHT WING AILERON MECHANICAL COMPONENTS FROM THE AILERON PCU'S TO THE AILERON AND THE FLIGHT SPOILER MECHANICAL CONTROL PATH. [AMM REF 27-11-00-210]</t>
  </si>
  <si>
    <t>PERFORM A GENERAL VISUAL INSPECTION OF THE LEFT WING SPOILER ACTUATORS. [AMM REF 27-62-00-210]</t>
  </si>
  <si>
    <t>PERFORM A GENERAL VISUAL INSPECTION OF THE RIGHT WING SPOILER ACTUATORS. [AMM REF 27-62-00-210]</t>
  </si>
  <si>
    <t>PERFORM A GENERAL VISUAL INSPECTION OF THE SPOILER MECHANICAL MECHANISM CONTROL PATH. [AMM REF 27-61-00-210]</t>
  </si>
  <si>
    <t>INSPECT (GENERAL VISUAL) THE MAIN AND CENTER FUEL TANK (WING) EXTERNAL LOWER SURFACES INCLUDING TANK VENTS, SUMP DRAIN VALVES, SKIN LAP JOINTS FOR OBVIOUS LEAKS, CONDITION, AND SECURITY. [AMM REF 28-11-00-210]</t>
  </si>
  <si>
    <t>RESTORE (CLEAN) THE LEFT MAIN WING TANK WATER SCAVENGE JET PUMPS. (WITHOUT DEFUELING THE TANK) [AMM REF 28-22-13-200]</t>
  </si>
  <si>
    <t>RESTORE (CLEAN) THE RIGHT MAIN WING TANK WATER SCAVENGE JET PUMPS. (WITHOUT DEFUELING THE TANK) [AMM REF 28-22-13-200]</t>
  </si>
  <si>
    <t>CLEAN THE RESERVOIR PRESSURIZATION MODULE FILTER. [AMM REF29-09-01-000, 29-09-01-400, 29-09-06-000 AND 29-09-06-400]</t>
  </si>
  <si>
    <t>RESTORE (CLEAN) THE LEFT AND RIGHT CENTER WING TANK WATER SCAVENGE JET PUMPS. (WITHOUT DEFUELING THE TANK) [AMM REF 28-22-13-200]</t>
  </si>
  <si>
    <t xml:space="preserve"> FUNCTIONAL CHECK OF EMDP GROUND FAULT PROTECTION SYSTEM. [AMM REF 29-11-21-700]</t>
  </si>
  <si>
    <t>INSPECT (GENERAL VISUAL) THE CARGO COMPARTMENT DOOR PRESSURE SEAL FOR DEGRADATION. [AMM REF 52-31-00-200]</t>
  </si>
  <si>
    <t>INSPECT (GENERAL VISUAL) THE E/E ACCESS DOOR PRESSURE SEAL FOR DEGRADATION. [AMM REF 52-48-41-200]</t>
  </si>
  <si>
    <t>INSPECT (DETAILED) THE AIR STAIR DOOR PRESSURE SEAL FOR DEGRADATION. AIRPLANE NOTE: IF AIR STAIRS STEM INCLUDING AIR STAIRS INSTALLED. [AMM REF 52-61-50-210]</t>
  </si>
  <si>
    <t>OPERATIONALLY CHECK THE DOOR SENSORS (PROXIMITY OR MECHANICAL SWITCHES AS APPLICABLE) FOR THE PASSENGER CABIN ENTRY/SERVICE, E/E ACCESS, AUTOMATIC OVER WING EMERGENCY EXIT, FORWARD ACCESS, CARGO AND AIR STAIR DOORS AS APPLICABLE. [AMM REF 52-71-11-710,52-71-22-710, 52-71-31-710, 52-71-41-710, 52-71-41-710, 52-71-42-710 AND 52-71-61-710]</t>
  </si>
  <si>
    <t>BBJ APP F-8 5000 Flight Hour Inspection</t>
  </si>
  <si>
    <t>PERFORM A GENERAL VISUAL INSPECTION OF THE STANDBY RUDDER POWER CONTROL UNIT WITH HYDRAULIC POWER ON. [AMM REF 27-21-24-210]</t>
  </si>
  <si>
    <t>PERFORM A GENERAL VISUAL INSPECTION OF THE LEFT WING FLAP DRIVE SEAL RIB ANGLE GEAR BOX, MUG BEAM ANGLE GEAR BOX, FLAP DRIVE TORQUE TUBES, TORQUE TUBE COUPLINGS AND SUPPORTS AND FLAP TRANSMISSIONS. ACCESS NOTE: FLAPS DEPLOYED [AMM REF 27-51-00-210]</t>
  </si>
  <si>
    <t>PERFORM A GENERAL VISUAL INSPECTION OF THE RIGHT WING FLAP DRIVE SEAL RIB ANGLE GEAR BOX, MUG BEAM ANGLE GEAR BOX, FLAP DRIVE TORQUE TUBES, TORQUE TUBE COUPLINGS AND SUPPORTS AND FLAP TRANSMISSIONS. ACCESS NOTE: FLAPS DEPLOYED [AMM REF 27-51-00-210]</t>
  </si>
  <si>
    <t>OPERATIONALLY CHECK THE SPEED BRAKES EXTENDED LIGHT. [AMM REF 27-62-00-820]</t>
  </si>
  <si>
    <t>FUNCTIONALLY CHECK INFLIGHT SPEED BRAKE AUTOSTOW SYSTEM PER TASK 27-61-01-000-801 OF SUPPLEMENT* TO AMM D633A101. [MPD ITEM NO 27-61-01-70, AP37-1 S6]</t>
  </si>
  <si>
    <t>FUNCTIONALLY CHECK INFLIGHT SPEED BRAKE AUTOSTOW SYSTEM PER TASK 27-61-01-000-801 OF SUPPLEMENT* TO AMM D633A101. [MPD ITEM NO 27-W01-00, AP37.1-0704.1]</t>
  </si>
  <si>
    <t>PERFORM AN OPERATIONAL CHECK OF THE LEFT ENGINE T/R SYNC LOCK. SPECIAL NOTE: CMR TASK (78-CMR-01) INTERVAL FOR THIS TASK IS 5000:AFL SEE MPD SECTION 9. [AMM REF 78-31-00-700]</t>
  </si>
  <si>
    <t>PERFORM AN OPERATIONAL CHECK OF THE RIGHT ENGINE T/R SYNC LOCK. SPECIAL NOTE: CMR TASK (78-CMR-01) INTERVAL FOR THIS TASK IS 5000:AFL SEE MPD SECTION 9. [AMM REF 78-31-00-700]</t>
  </si>
  <si>
    <t>BBJ APP F-11 10000 Flight Hour Inspection</t>
  </si>
  <si>
    <t>OPERATIONAL CHECK OF THE APU REMOTE FIRE DETECTION SYSTEM (M279 FIRE DETECTION CONTROL MODULE AND P28 REMOTE APU CONTROL PANEL) [AMM REF 26-15-00-710]</t>
  </si>
  <si>
    <t>OPERATIONAL CHECK THE MAIN RUDDER PCU FORCE FIGHT MONITOR. [AMM REF 27-21-00-700]</t>
  </si>
  <si>
    <t>FUNCTIONALLY CHECK THE RUDDER POWER CONTROL UNIT INTERNAL LEAKAGE IN A LOADED CONDITION. INTERVAL NOTE: MSG-3 ANALYSIS IS 12500 FH. CMR INTERVAL IS 10000 FH. SEE MPD SECT 9. AIRPLANE NOTE: WITH INCORPORATION OF SB 737-37-1253 [AMM REF 27-21-00-700]</t>
  </si>
  <si>
    <t>PERFORM A FUNCTIONAL CHECK OF THE RUDDER PCU RELIEF VALVE (AUTHORITY LIMITER) INTERNAL LEAKAGE. NOTE: APPLICABLE TO AIRPLANE LINE NUMBERS 596 AND 1268 AND ON AND L/NS 1 THRU 595 AND 597 THRU 1267 THAT HAVE INCORPORATED SB 737-27-1253. ( AMM REF 27-21-00-700]</t>
  </si>
  <si>
    <t>FUNCTIONALLY CHECK THE FLAP LOAD RELIEF SYSTEM. [AMM REF 27-51-00-720]</t>
  </si>
  <si>
    <t>OPERATIONALLY CHECK THE SPOILER MIXER CENTERING MECHANISM. [AMM REF 27-61-00-710]</t>
  </si>
  <si>
    <t>OPERATIONALLY CHECK THE CENTER TANK FUEL SCAVENGE SYSTEM (JET PUMP, INDUCED PORT CHECK VALVE, FLOAT VALVE, AND LINE). [AMM REF 28-22-00-720]</t>
  </si>
  <si>
    <t>REPLACE THE STANDBY HYDRAULIC SYSTEM PRESSURE FILTER. [AMM REF 29-21-51-400 AND 29-21-51-000]</t>
  </si>
  <si>
    <t>REPLACE THE STANDBY HYDRAULIC SYSTEM CASE DRAIN FILTER. [AMM REF 29-21-41-400 AND 29-21-41-000]</t>
  </si>
  <si>
    <t>REPLACE THE POWER TRANSFER UNIT PRESSURE FILTER. [AMM REF 29-22-21-400 AND 29-22-21-020]</t>
  </si>
  <si>
    <t>DETAIL INSPECTION FOR MOISTURE IN THE STATIC SYSTEMS. [AMM REF 34-11-00-210]</t>
  </si>
  <si>
    <t>BBJ APP G-2 4000 Airframe Cycle Inspection</t>
  </si>
  <si>
    <t>PERFORM A DETAILED VISUAL INSPECTION OF THE NUMBER 1 HIGH RATE DISCHARGE CARGO COMPARTMENT FIRE BOTTLE BRACKET INSTALLATION AT STA 540, LBL 10, WL 195. ZONE 125. VISUAL INSPECT THE BRACKET AND ADJOINING STRUCTURE FOR EVIDENCE OF FATIGUE RELATED STRUCTURE DAMAGE.[(REFER HOLLINGSEAD DOC 20689 REV G)]</t>
  </si>
  <si>
    <t>LUBRICATE THE LEFT WING NO 1, 2, AND 3 TRAILING EDGE FLAP TRACK FORWARD ATTACHMENT POINT PINS. [AMM REF 12-22-51-640]</t>
  </si>
  <si>
    <t>LUBRICATE THE RIGHT WING NO 6, 7 AND 8 TRAILING EDGE FLAP TRACK FORWARD ATTACHMENT POINT PINS. [AMM REF 12-22-51-640]</t>
  </si>
  <si>
    <t>DETAILED INSPECTION OF BOTH LEFT ENGINE IGNITION LEADS. [AMM REF 74-21-01-200]</t>
  </si>
  <si>
    <t>TEBOGO</t>
  </si>
  <si>
    <t>DETAILED INSPECTION OF BOTH RIGHT ENGINE IGNITION LEADS. [AMM REF 74-21-01-200]</t>
  </si>
  <si>
    <t>BBJ APP H-1 1600 Engine Cycle Inspection</t>
  </si>
  <si>
    <t>BORE SCOPE INSPECTION OF THE LEFT ENGINE COMBUSTION CHAMBER. [AMM REF 72-00-00-200]</t>
  </si>
  <si>
    <t>BORE</t>
  </si>
  <si>
    <t>BORE SCOPE INSPECTION OF THE RIGHT ENGINE COMBUSTION CHAMBER. [AMM REF 72-00-00-200]</t>
  </si>
  <si>
    <t>BORE SCOPE INSPECTION OF THE LEFT ENGINE HPT NOZZLE. [AMM REF 72-00-00-200 AND 72-00-00-220]</t>
  </si>
  <si>
    <t>BORE SCOPE INSPECTION OF THE RIGHT ENGINE HPT NOZZLE. [AMM REF 72-00-00-200 AND 72-00-00-220]</t>
  </si>
  <si>
    <t>BORE SCOPE INSPECTION OF THE LEFT ENGINE HPT BLADES. [AMM REF 72-00-00-200]</t>
  </si>
  <si>
    <t>BORE SCOPE INSPECTION OF THE RIGHT ENGINE HPT BLADES. [AMM REF 72-00-00-200]</t>
  </si>
  <si>
    <t>DETAIL INSPECTION OF THE LEFT ENGINE STARTER MAGNETIC CHIP DETECTOR FOR METAL CHIPS. [AMM REF80-11-01-200]</t>
  </si>
  <si>
    <t>DETAIL INSPECTION OF THE RIGHT ENGINE STARTER MAGNETIC CHIP DETECTOR FOR METAL CHIPS. [AMM REF 80-11-01-200]</t>
  </si>
  <si>
    <t>PLANNED SCHEDULED TASKS (AS PER PM093)</t>
  </si>
  <si>
    <t>PERFORM  HMU/GMU FLIGHT [IAW ATNS DOC  RVSM MINIMUM MONITORING REQUIREMENTS] IN ORDER TO COMPLY WITH RVSM CRITERIA</t>
  </si>
  <si>
    <t>UPLOAD NAV DATA BASE [IAW JEPPESON AIRAC DATE]</t>
  </si>
  <si>
    <t>SERVICE THE HEADS UP DISPLAY OVERHEAD UNIT DESICCANT CAPSULE IAW AMM REF 34-36-00-000</t>
  </si>
  <si>
    <t>OPERATIONALLY CHECK THE STANDBY RUDDER SYSTEM TO INCLUDE OBSERVING LOW PRESSURE LIGHT ILLUMINATING AND THEN EXTINGUISHING [IAW MPD ITEM NR 29-230-00 AMTOSS CODE 29-21-00-700-803</t>
  </si>
  <si>
    <t>OPERATIONALLY CHECK (IAW AMM REF 35-12-00-700) EACH FLIGHT CREW OXYGEN MASK/REGULATOR (OUT OF THE BOX ASSEMBLY).</t>
  </si>
  <si>
    <t>PERFORM SERVICE ON EMERGENCY FLASHLIGHTS</t>
  </si>
  <si>
    <t>PERFORM AN AIRSPEED INDICATOR AND ALTIMETER SYSTEM TESTS AND INSPECTIONS (PITOT STATIC PRESSURE SYSTEM TEST REFER CATS 43.02.9 (1) IAW MPD ITEM NR 34-010-00</t>
  </si>
  <si>
    <t>PERFORM AN ATC TRANSPONDER TESTS AND INSPECTIONS (REFER CATS 43.02.10 (1)</t>
  </si>
  <si>
    <t>VISUAL INSPECTION, INSULATION RESISTANCE TEST ON MAIN TANK BOOST PUMP MOTOR (4)</t>
  </si>
  <si>
    <t>VISUAL INSPECTION, INSULATION RESISTANCE TEST ON CENTER TANK BOOST PUMP MOTOR (2)</t>
  </si>
  <si>
    <t>PERFORM COMPASS SWING [REFER CAR 42.02.18  AND MRI A01219]</t>
  </si>
  <si>
    <t>WEIGH [IAW AMTOSS CODE 08-11-00-580-801 MRI: A00230 CAR 43.02.7] THE AIRCRAFT</t>
  </si>
  <si>
    <t>PERFORM DETAIL INSPECTION [IAW AMM REF 12-13-21-200 &amp;,12-13-21-200]  OF IDG DELTA P INDICATORS AND OIL LEVELS</t>
  </si>
  <si>
    <t>PERFORM [IAW AMM REF 24-11-61-200] TORQUE CHECK LEFT AND RIGHT ENGINE IDG QUICK ATTACHT/DETACH (QAD) COUPLING</t>
  </si>
  <si>
    <t>REPLACE THE FUEL SHUT-OFF VALVE BATTERY IAW AMM REF 28-22-14-000 AND 28-22-14-400</t>
  </si>
  <si>
    <t>WEIGH All MANUAL FIRE EXTINGUISHER</t>
  </si>
  <si>
    <t>CARRY OUT A HYDROSTATIC TEST ON ALL PORTABLE FIRE EXTINGUISHER</t>
  </si>
  <si>
    <t>BORE SCOPE INSPECTION OF THE APU IAW MPD ITEM NR 49-140-00 OPERATORS REQUIREMENT</t>
  </si>
  <si>
    <t>PERFORM AN OPERATIONAL CHECK [IAW AMM REF 49-61-00-710] OF THE FOLLOWING BY INTERROGATING THE CDU'S APU MAINTENANCE PAGES. - APU DATA MEMORY MODULE (DMM) - ELECTRONICS CONTROL UNIT (ECU) -SPEED SENSOR - EGT RAKE</t>
  </si>
  <si>
    <t>RESTORE THE LIFE JACKETS (IF INSTALLED) AT THE MANUFACTURERS RECOMMENDED INTERVAL. INTERVAL NOTE: VENDOR RECOMMENDATION IAW MPD ITEM NR 25-090-00 AMM REF 25-64-00-900 OMM IPC 25-60-10-1-10</t>
  </si>
  <si>
    <t>OVERHAUL RESTORE THE EMERGENCY ESCAPE SLIDES AND REPLACE THE BATTERIES AT THE MANUFACTURERS RECOMMENDED INTERVAL. INTERVAL NOTE VENDOR RECOMMENDATION</t>
  </si>
  <si>
    <t>DISCARD/REPLACE THE UNDERWATER LOCATOR BEACON (ULB) BATTERY</t>
  </si>
  <si>
    <t>PERFORM UNDERWATER LOCATOR BEACON (ULB) TEST AND CLEAN SWITCH END</t>
  </si>
  <si>
    <t>DISCARD MEDICAL OXYGEN BOTTLE -SERVICE LIFE 15 YEARS. [AS PER OMM, CHAP 05-10-00, CHAP 35-00]</t>
  </si>
  <si>
    <t>FUNCTIONALLY CHECK (OFF THE AIRPLANE) (IAW AMM REF 35-12-85-400 &amp; 35-12-85-000) EACH FLIGHT CREW OXYGEN MASK/REGULATOR</t>
  </si>
  <si>
    <t>PERFORM ENGINE COMPRESSOR WASH IAW ECEA ESM 72-00-00-100-002, IPC 72-00-00-01-001</t>
  </si>
  <si>
    <t>LUBRICATE ENGINE FAN BLADES DOVETAIL IAW AMMTOSS CODE 72-21-00-640-801</t>
  </si>
  <si>
    <t>PERFORM A 500 HOUR ENG 1 INSPECTION (IAW AMM REF 79-00-00-200, AD 2013-26-01] DETAIL INSPECTION OF THE LEFTENGINE AGB/TGB AND AFT AND FORWARD SUMP MAGNETIC CHIP DETECTOR OR DEBRIS MONITORING SYSTEM DETECTORS AND SCAVANGE</t>
  </si>
  <si>
    <t>PERFORM A 500 HOUR ENG 2 INSPECTION (IAW AMM REF 79-00-00-200, AD 2013-26-01] DETAIL INSPECTION OF THE RIGHT ENGINE AGB/TGB AND AFT AND FORWARD SUMP MAGNETIC CHIP DETECTOR OR DEBRIS MONITORING SYSTEM DETECTORS AND SCAVANGE</t>
  </si>
  <si>
    <t>DISCARD/REPLACE [IAW AMM REF 35-22-11-000 &amp; 35-22-11-400] THE CHEMICAL OXYGEN GENERATORS. AIRPLANE NOTE: IF INSTALLED. INTERVAL NOTE: VENDOR RECOMMENDATION.</t>
  </si>
  <si>
    <t>RESTORE THE NUMBER 1 HIGH RATE DISCHARGE CARGO COMPARTMENT FIRE BOTTLE BY HYDROSTATICALLY TESTING</t>
  </si>
  <si>
    <t>RESTORE CARGO COMPARTMENT FIRE BOTTLES BY HYDROSTATIC TESTING</t>
  </si>
  <si>
    <t>TEST TRANSPONDERS IAW CATS 43.02.10(1) RVSM REQ MPD ITEM NR 34-050-00</t>
  </si>
  <si>
    <t>INSPECT THE LIFE RAFT AS PER CMM 25-60-45</t>
  </si>
  <si>
    <t>Amanda</t>
  </si>
  <si>
    <t>RESTORE THE LIFE RAFTS AT THE MANUFACTURERS RECOMMENDED INTERVAL. INTERVAL NOTE: VENDOR RECOMMENDATION AIRPLANE NOTE: IF INSTALLED IAW MPD ITEM NO 25-300-00, AMM REF 25-64-00-900, OMM IPC 25-60-10-1-20/25 CMM</t>
  </si>
  <si>
    <t>RESTORE THE MAIN AND AUXILIARY BATTERY</t>
  </si>
  <si>
    <t>PERFORM A MONTHLY "SELF TEST" ON THE ELT TRANSMITTER IAW ARTEX DOCUMENT #570-5001 PARAGRAPH 3.7. (TRANSMITTER TEST)</t>
  </si>
  <si>
    <t>PERFORMANCE TEST AND INSPECTION ON THE ELT TRANSMITTER IAW SACAA CATS REG 43.02.11</t>
  </si>
  <si>
    <t>PERFORMANCE BENCH TEST [IPC 23-24-02-03-25, CMM NO SA-CAR-GMR-SUBPART 2:43.02.11] ON THE ELT TRANSMITTER IAW ARTEX DOCUMENT #570-5001</t>
  </si>
  <si>
    <t>DISCARD THE ELT TRANSMITTER BATTERY PACK</t>
  </si>
  <si>
    <t>DOWNLOAD FLIGHT DATA DIGITAL RECORDER I.A.W. ECEA IPC 31-31-11-05-35, CMM 31-30-03, CAA CATS CARS.</t>
  </si>
  <si>
    <t xml:space="preserve">Removal, Inspection and Installation of Aux Tanks. </t>
  </si>
  <si>
    <t>UNSCHEDULED ADDITIONAL WORK</t>
  </si>
  <si>
    <t>Rectification of the Outstanding Charging Ports defects that were deferred to C-Check.</t>
  </si>
  <si>
    <t>OMM/IPC/WDM</t>
  </si>
  <si>
    <t xml:space="preserve">Component Obsolescence </t>
  </si>
  <si>
    <t>Weather Radar Delayed Critical</t>
  </si>
  <si>
    <t>Zonal Comfort System Delayed Critical</t>
  </si>
  <si>
    <t>Power Rectifiers Delayed Critical</t>
  </si>
  <si>
    <t>Master Lounger upgrade Delayed Critical</t>
  </si>
  <si>
    <t>LED Lighting Delayed Critical</t>
  </si>
  <si>
    <t>DEFERRED DEFECTS (AS PER PM067)</t>
  </si>
  <si>
    <t>PERFORM IAW [BBJ/SB/737-27-1291R1] LEADING EDGE FLAP AND SLAT CONTROL SYSTEM - LEADING EDGE SLATS - TITANIUM PROXIMITY PROVISIONAL INSTALLATION</t>
  </si>
  <si>
    <t>FIM/AMM/IPC/WDM</t>
  </si>
  <si>
    <t>EXCHANGE ENGINE ACCESSORIE UNIT</t>
  </si>
  <si>
    <t>FILL/OVERFLOW VALVE INSTALL</t>
  </si>
  <si>
    <t>HF COUPLER SHOWS FAIL MESSAGE DURINGTHE TEST, HF2 COUPLER TO BE EXCHANGED</t>
  </si>
  <si>
    <t>SHOWER INOPERATIVE SUSPECTED WIRING PROBLEM</t>
  </si>
  <si>
    <t>CONVETOR TO BE EXCHANGED</t>
  </si>
  <si>
    <t>PCU TO BE EXCHANGED</t>
  </si>
  <si>
    <t>LOGIC BOARD CONNECTOR TO BE REPLACED</t>
  </si>
  <si>
    <t>SINK TABLE TO BE REPAIRED</t>
  </si>
  <si>
    <t>PENDING</t>
  </si>
  <si>
    <t>REPLACE FLEXIBLE HOSE</t>
  </si>
  <si>
    <t>RH WING FWD UNDERSIDE PAINT STRIPPED</t>
  </si>
  <si>
    <t>PAINT</t>
  </si>
  <si>
    <t>PAINT TOUCH UP TO BE CARRIED AFTER THE AIRCRAFT UNDERWENT A FULL BODY RESPRAY</t>
  </si>
  <si>
    <t>FWD LH MAIN ENTRY TO BE PAINTED</t>
  </si>
  <si>
    <t>REPLACE VERTICAL STABILIZER TIP</t>
  </si>
  <si>
    <t>REPLACE FWD SMOKE DETECTOTR(B2)</t>
  </si>
  <si>
    <t>EXCHANGE VALVE, PRECOOLER CONTROL</t>
  </si>
  <si>
    <t>REPLACE PORTABLE WATER FILTER CATRIDGES</t>
  </si>
  <si>
    <t>EXCHANGED BATTERY PACK  TIMEX SERIAL NO OUT 034</t>
  </si>
  <si>
    <t>EXCHANGE POWER COMMUNICATION BATTERY  SERIAL NO:6605</t>
  </si>
  <si>
    <t>HF2 SHOWS FAIL MESSAGE DURING THE TEST, HF2 COUPLER TO BE EXCHANGED</t>
  </si>
  <si>
    <t>REPLACE CORDED HANDSET (JETPHONE</t>
  </si>
  <si>
    <t>AIRSTAIRS OPERATION SYSTEM TO BE REPAIRED</t>
  </si>
  <si>
    <t>REPLACE SHOWER SOLENOID VALVE</t>
  </si>
  <si>
    <t>PASSENGER/CREW DOOR LOCKING MECHANISM BROKEN</t>
  </si>
  <si>
    <t>REPLACE ZONAL HUMIDIFIER SYSTEM GLASS DEK</t>
  </si>
  <si>
    <t>CO-PILOT INBOARD DISPLAY UNIT TO BE EXCHANGED</t>
  </si>
  <si>
    <t>EXCHANGE GALLEY POWER PANEL</t>
  </si>
  <si>
    <t>REPLACE LWR ANTI-COLLISION LIGHT</t>
  </si>
  <si>
    <t>DVD PLAYER TO BE EXCHANGED</t>
  </si>
  <si>
    <t>SOFTWARE ON FWD TOUCH SCREEN TO BE UPLOADED</t>
  </si>
  <si>
    <t>  FORWARD CABIN MANAGEMENT SYSTEM INOPERATIVE. FOLLOWING SYSTEMS AFFECTED: ATTENDANT CALL, LIGHTING, ENTERTAINMENT, AIR CONDITIONING, WATER SYSTEM CONTROLS AND WARNING MAPS</t>
  </si>
  <si>
    <t xml:space="preserve"> EXCHANGE FLIGHT LEVEL SELECTOR</t>
  </si>
  <si>
    <t xml:space="preserve"> EXCHANGE CMU A/C CIRCUIT BREAKER</t>
  </si>
  <si>
    <t>EXCHANGE FIRE EXTINGUISHER BOTTLE ASSY sn: C4078D1</t>
  </si>
  <si>
    <t>EXCHANGE OXYGEN CYLINDER PORTABLE sn:  ST36334</t>
  </si>
  <si>
    <t>     EXCHANGE OXYGEN CYLINDER PORTABLE sn:  800800</t>
  </si>
  <si>
    <r>
      <t>h.    </t>
    </r>
    <r>
      <rPr>
        <b/>
        <u/>
        <sz val="14"/>
        <color theme="1"/>
        <rFont val="Arial"/>
        <family val="2"/>
      </rPr>
      <t>OTHER ADDITIONAL TASKS TO THE C-CHECK</t>
    </r>
  </si>
  <si>
    <r>
      <t xml:space="preserve">1.                   </t>
    </r>
    <r>
      <rPr>
        <b/>
        <u/>
        <sz val="14"/>
        <color theme="1"/>
        <rFont val="Arial"/>
        <family val="2"/>
      </rPr>
      <t>AVIONIC TASKS:</t>
    </r>
  </si>
  <si>
    <t>                                                     I.                COMMUNICATION MANAGEMENT SYSTEM (CMS)</t>
  </si>
  <si>
    <t>                                                   II.                AVIONIC AIRWORTHINESS DIRECTIVES AND SERVICE BULLETINS</t>
  </si>
  <si>
    <r>
      <t xml:space="preserve">2.                   </t>
    </r>
    <r>
      <rPr>
        <b/>
        <u/>
        <sz val="14"/>
        <color theme="1"/>
        <rFont val="Arial"/>
        <family val="2"/>
      </rPr>
      <t>COCKPIT UPDATES:</t>
    </r>
  </si>
  <si>
    <t>                                                     I.                ROCKWELL COLLINS HGS-4000(-400E)</t>
  </si>
  <si>
    <t>                                                   II.                ROCKWELL COLLINS MULTISCAN WXR2100</t>
  </si>
  <si>
    <t>                                                  III.                VERTICAL SITUATIONS DISPLAY (VSD)</t>
  </si>
  <si>
    <t>                                                 IV.                FANS 2</t>
  </si>
  <si>
    <t>                                                   V.                DATABASE (EGPWS)</t>
  </si>
  <si>
    <t>                                                 VI.                AUTONOMOUS DISTRESS TRACKING (ADT)</t>
  </si>
  <si>
    <t>                                               VII.                25 HOUR (LONG DURATION) COCKPIT VOICE RECORDER (CVR)</t>
  </si>
  <si>
    <t>                                              VIII.                EO SID DATABASE UPDATE</t>
  </si>
  <si>
    <t>                                                 IX.                PERFORMANCE BASED COMMUNICATION AND SURVEILLANCE (PBCS)</t>
  </si>
  <si>
    <t>                                                   X.                GNSS LANDING SYSTEM (GLS) AND GROUND-BASED AUGMENTATION SYSTEM (GBAS)</t>
  </si>
  <si>
    <t>                                                 XI.                CDS BLOCK POINTS TO UPDATE COMMON DISPLAY SYSTEMS</t>
  </si>
  <si>
    <t>                                               XII.                FLIGHT MANAGEMENT COMPUTER (FMC) UPDATE TO U14</t>
  </si>
  <si>
    <t>                                              XIII.                UPGRADE AFDS TO FAIL OPERATIONAL</t>
  </si>
  <si>
    <t>RESTORE THE LEFT MAIN LANDING GEAR ASSEMBLY. PERFORM IN CONJUNCTION WITH LANDING GEAR STRUCTURAL INSPECTION TASK 32-720-01-01 AT 12 YEARS [AMM REF 32-11-00-000, 32-11-00-400, 32-11-61-000, 31-11-61-400, 32-11-71-000, 32-11-71-420, 32-11-83-400, 32-11-89-000, 32-11-89-420, 32-32-11-000, 32-32-11-400, 32-32-31-000, 32-11-83-000, 32-45-11-000, 57-16-01-000, 57-16-01-400, 57-16-02-000 AND 57-16-02-400]</t>
  </si>
  <si>
    <t xml:space="preserve"> RESTORE THE RIGHT MAIN LANDING GEAR ASSEMBLY. PERFORM IN CONJUNCTION WITH LANDING GEAR STRUCTURAL INSPECTION TASK 32-720-02-01 AT 12 YEARS. [AMM REF 32-11-00-000, 32-11-00-400, 32-11-61-000, 31-11-61-400, 32-11-71-000, 32-11-71-420, 32-11-83-400, 32-11-89-000, 32-11-89-420, 32-32-11-000, 32-32-11-400, 32-32-31-000, 32-11-83-000, 32-45-11-000, 57-16-01-000, 57-16-01-400, 57-16-02-000 AND 57-16-02-400]</t>
  </si>
  <si>
    <t>RESTORE THE NOSE LANDING GEAR ASSEMBLY. PERFORM IN CONJUNCTION WITH LANDING GEAR STRUCTURAL INSPECTION TASK 32-750-00-01 AT 12 YEARS. [AMM REF 32-21-00-000, , 32-21-00-400, 32-21-21-000, 32-21-21-400, 32-33-11-000, 32-33-11-400, 32-33-51-000, AND 32-33-51-400]</t>
  </si>
  <si>
    <t>PERFORM NOSE AND MAIN LANDING GEAR 5000HRS OVERHAUL (ALL ASSOCIATED REPAIRS AND AVERHAUL)</t>
  </si>
  <si>
    <t>   COMPLY WITH [BBJ/SB/737-32-1448] LANDING GEAR - MAIN LANDING GEAR - FORWARD AND AFT TRUNNION PIN ASSEMBLIES INSPECTION AND CHANGE</t>
  </si>
  <si>
    <t>  COMPLY WITH [BBJ/SB/737-32-1448] LANDING GEAR - MAIN LANDING GEAR - FORWARD AND AFT TRUNNION PIN ASSEMBLIES INSPECTION AND CHANGE</t>
  </si>
  <si>
    <t>RESTORE THE LEFT AND RIGHT MAIN LANDING GEAR ASSEMBLY.  PERFORM IN CONJUNCTION WITH LANDING GEAR STRUCTURAL INSPECTION</t>
  </si>
  <si>
    <t>RESTORE THE NOSE LANDING GEAR ASSEMBLY. PERFORM IN CONJUNCTION WITH LANDING GEAR STRUCTURAL INSPECTION</t>
  </si>
  <si>
    <t xml:space="preserve"> PLANNED SB’S, AD’S AND MODS (AS PER PM070) </t>
  </si>
  <si>
    <t>1. ENGINE&amp; APU AD’S/SB’S (ENGINE SHOP VISIT)</t>
  </si>
  <si>
    <t> LH THRUST REVERSER - ACTUATOR INTEGRITY TEST.  AD 2019-18-03 : CONDUCT AN INTEGRITY TEST OF THE THRUST REVERSER UPPER LOCKING ACTUATOR ON ALL 4 LOCKING ACTUATORS</t>
  </si>
  <si>
    <t>  BBJ/737/SL/49-074 : PNEUMATIC - ENGINE BLEED AIR DISTRIBUTION SYSTEM - CLAMP INSTALLATION ON ENGINE SENSE TUBES FOR THE PNEUMATIC SYSTEM FLEX LINES</t>
  </si>
  <si>
    <t>  CFM56-7B/SB/79-0024R1 : OIL - LUBRICATION UNIT (79-21-16 AND 79-21-59) - INTRODUCTION OF NEW PACKING PREFORMED O-RINGS IN FLUOROCARBONE WITH BETTER PERFORMANCE AT LOW TEMPERATURE</t>
  </si>
  <si>
    <t>   CFM56-7B/SB/72-0531R4 : ENGINE - GENERAL - NEW INSPECTION OF FAN FRAME SHROUD</t>
  </si>
  <si>
    <t>NDT</t>
  </si>
  <si>
    <t> CFM56-7B/SB/72-0534R1 : ENG- FAN BOOSTER ASSY- FAN DISK FORWARD FLANGE INSPECTION</t>
  </si>
  <si>
    <t xml:space="preserve"> CFM56-7B/SB/80-0016 : STARTER (80-11-10) - INTRODUCTION OF NEW V-BAND VIN 31428-6600 (P/N 2635M04P01)</t>
  </si>
  <si>
    <t>CFM56-7B/SB/72-0525R2 : ENGINE GENERAL - FAN DISK PRESSURE FACES INSPECTION</t>
  </si>
  <si>
    <t>                         viii.        CFM56-7B/SB/72-0229R4: ENGINE - COMBUSTION CHAMBER (72-42-00) - INNER AND OUTER LINER THICKER TBC FIELD REWORK</t>
  </si>
  <si>
    <t>                           ix.        CFM56-7B/SB/72-0325R3 : ENGINE - FAN AND BOOSTER (72-21-00)  - INTRODUCTION OF ELASTOMER AXIAL STOP PIN INSTEAD OF ROOM TEMPERATURE VULCANIZING (RTV) APPLICATION ON THE BLADE RETAINING FLANGE</t>
  </si>
  <si>
    <t>                             x.          CFM56-7B/SB/72-0477R2 : ENGINE - GENERAL (72-00-00) - INSPECTION OF NO 5 BEARING SUPPORT NIPPLE WELD</t>
  </si>
  <si>
    <t>                           xi.          CFM56-7B/SB/72-0512R5 : ENGINE - FAN FRAME ASSEMBLY (72-23-00) - INTRODUCTION OF A NEW FAN FRAME SHROUD WITH NEW IDG AIR/OIL COOLER PANEL IN TWO PARTS</t>
  </si>
  <si>
    <t>                          xii.          CFM56-7B/SB/72-0521R1 : ENGINE - COMBUSTION CHAMBER ASSEMBLY (72-42-00) - INSPECTION OF INNER AND OUTER LINER NUGGET THICKNESS</t>
  </si>
  <si>
    <t>                         xiii.          CFM56-7B/SB/72-0926R1 : ENGINE - COMPRESSOR FRONT STATOR ASSEMBLY (72-32-00) - ON-WING INSPECTION OF VSV STAGE 3 OUTER BUSHINGS</t>
  </si>
  <si>
    <t>                        xiv.          CFM56-7B/SB/72-0986R3 : ENGINE - COMPRESSOR FRONT STATOR ASSEMBLY (72-32-00) - ON-WING FLEXIBLE BORESCOPE INSPECTION OF METALLIC/HYBRID VSV SYSTEM</t>
  </si>
  <si>
    <t>                         xv.           CFM56-7B/SB/72-1005R3 : ENGINE - GENERAL (72-00-00) - INTRODUCTION OF NEW O-RING MATERIAL ON THE TRANSFER GEARBOX ASSEMBLY AND THE ACCESSORY GEARBOX ASSEMBLY</t>
  </si>
  <si>
    <t>                        xvi.             CFM56-7B/SB/77-0005 : ENGINE INDICATING - FIRE DETECTION BRACKET - ELIMINATE CHAFING OF BOEING ECS TUBE</t>
  </si>
  <si>
    <t>                       xvii.             CFM56-7B/SB/79-0010R2 : OIL SYSTEM - OIL/FUEL HEAT EXCHANGER (79-21-20) - REPLACEMENT OF FLUOROSILICONE BY FLUOROCARBONE O-RINGS</t>
  </si>
  <si>
    <t>                     xviii.             CFM56-7B/SB/80-0010R3 : STARTER (80-11-10) – PACKING FOR BP2197, ETO2197, OR MJO254 OILS AND NEW MAGNETIC DRAIN PLUG ASSEMBLY</t>
  </si>
  <si>
    <t>e.                      AIRFRAME AD’S/SB’S</t>
  </si>
  <si>
    <t>                              i.             BBJ/SB/737-29-1114 : HYDRAULIC POWER - MAIN - HYDRAULIC SYSTEMS A AND B PRESSURE MODULE CHECK VALVE INSPECTION AND REPLACEMENT</t>
  </si>
  <si>
    <t>                             ii.             AD 2021-11-24 : TO PREVENT INCREASING THE FLAMMABILITY EXPOSURE OF THE CENTER FUEL TANK, WHICH TOGETHER WITH AN IGNITION SOURCE IN THE FUEL TANK, COULD LEAD TO A FUEL TANK EXPLOSION AND CONSEQUENT LOSS OF THE AIRPLANE</t>
  </si>
  <si>
    <t>                            iii.             BBJ/SB/737-27-1291R1 : LEADING EDGE FLAP AND SLAT CONTROL SYSTEM - LEADING EDGE SLATS - TITANIUM PROXIMITY PROVISIONAL INSTALLATION</t>
  </si>
  <si>
    <t>                           iv.             BBJ/SB/737-53-1297R2 : FUSELAGE-EQUIPMENT ATTACHMENT FITTINGS-AFT CARGO WASTE TANK ENCLOSURE-STANCHION MODIFICATION</t>
  </si>
  <si>
    <t>MEC/SM/ NDT</t>
  </si>
  <si>
    <t>                             v.             BBJ/737/SL/53-058-A : POSSIBLE RIDING CONDITION BETWEEN FASTENER AND RUDDER PEDAL SHAFT NUT P/N BACN 10RF25</t>
  </si>
  <si>
    <t>                           vi.             BBJ/737/SL/25-051-F : LOWER CARGO COMPARTMENT LINER REPAIR</t>
  </si>
  <si>
    <t>                          vii.             BBJ/SB/737-53-1294R3 : FUSELAGE - SKIN - LOWER BULKHEAD CHORDS AT BODY STATION 540 - SKIN INSPECTION, CHORD SPLICE INSTALLATION AND SKIN REPAIR (AD2017-02-10)</t>
  </si>
  <si>
    <t>MEC/SM/NDT/ PAINT</t>
  </si>
  <si>
    <t>                          vii.             BBJ/SB/737-53-1294R3 : FUSELAGE - SKIN - LOWER BULKHEAD CHORDS AT BODY STATION 540 - SKIN INSPECTION, CHORD SPLICE INSTALLATION AND SKIN REPAIR (AD2017-02-10) (737SL/51-042)IF THE ABOVE INSPECTION FAIL</t>
  </si>
  <si>
    <t>                           viii.          BBJ/SB/737-27-1290R3 : FLIGHT CONTROLS - TRAILING EDGE FLAP SYSTEM - FLAPS UP AND FLAP LANDING WARNING LIMIT SWITCH REPLACEMENT</t>
  </si>
  <si>
    <t>                              ix.           GOODRICH/SB/25-488 : UPDATED RECOMMENDED MAINTENANCE PROGRAM FOR B737 AGEING SLIDES</t>
  </si>
  <si>
    <t>                               x.           BBJ/737/SL/27-169 : LUBRICATION OMITTED FROM THE ROD END ASSEMBLY FOR THE FLIGHT SPOILER ACTUATOR</t>
  </si>
  <si>
    <t>                              xi.           BBJ/SB/737-56-1024R1 : WINDOWS - CONTROL CABIN SLIDING WINDOWS - LEFT SIDE AND RIGHT SIDE NUMBER 2 WINDOW FRAME REPAIR AND MODIFICATION</t>
  </si>
  <si>
    <t>MEC/SM/NDT</t>
  </si>
  <si>
    <t>                            xii.           BBJ/SB/737-53A1353: FUSELAGE - BODY STATION 1016 AFT PRESSURE BULKHEAD - INSPECTION FOR FATIGUE CRACKS AT WEB LAP SPLICES</t>
  </si>
  <si>
    <t>                           xiii.          BBJ/ENGINEERING ORDER/GT/256 : FUSELAGE SKIN DENT AFT OF ST 1016 BUTT JOINT, BETWEEN S-13L AND 14L</t>
  </si>
  <si>
    <t>                           xiv.          AD 2019-19-10 : TO PREVENT AN AIRPLANE FROM BEING DISPATCHED ON ETOPS FLIGHT WITH A SINGLE FUEL CROSSFEED VALVE</t>
  </si>
  <si>
    <t>                            xv.           BBJ/737/SL/26-040 : INSPECTION OF PORTABLE WATER FIRE EXTINGUISHERS</t>
  </si>
  <si>
    <t>                           xvi.          BBJ/737/SL/22-054-A : POTENTIAL CHAFFING OF W3397 WIRE BUNDLE TO M1020 ELEVATOR CONTROL "A"</t>
  </si>
  <si>
    <t>                         xvii.          BBJ/SB/737-29-1123R1 : HYDRAULIC SYSTEMS A AND B - PRESSURE MODULE CHECK VALVE INSPECT AND REPLACEMENT</t>
  </si>
  <si>
    <t>                        xviii.          BBJ/SB/737-32-1444 : LANDING GEAR - TIRES AND WHEELS - MAIN LANDING GEAR INBOARD WHEEL HALF INSPECTION</t>
  </si>
  <si>
    <t>                           xix.          BBJ/737/SL/24-171-A : CORROSION PROTECTION OF ELECTRICAL CONNECTORS IN THE MAIN WHEEL WELL</t>
  </si>
  <si>
    <t>                            xx.           HONEYWELL/SB/3289562-36-1878 : PNEUMATIC - FOUR INCH DIAMETER CONTROL VALVE - REWORK FOUR INCH DIAMETER CONTROL VALVE PN 3289562-5 TO 3289562-6</t>
  </si>
  <si>
    <t>                           xxi.          BBJ/737/SL/29-088 : DRUCK HYDRAULIC PRESSURE TRANSDUCER DISCREPANCY</t>
  </si>
  <si>
    <t>                         xxii.          AD 2019-14-02 : ADDRESS STRUCTURAL FATIGUE CRACKS IN CERTAIN ALUMINUM PRESSURE MODULE CHECK VALVES</t>
  </si>
  <si>
    <t>SM/NDT</t>
  </si>
  <si>
    <t>                        xxiii.          PERFORM IAW [BBJ/SB/737-26A1137R1]  &amp; [AD 2016-04-06 / AD 2016-04-15] INSPECTION OF CARGO SMOKE DETECTION - EQUIPMENT COOLING SYSTEM SMOKE CLEARANCE MODE OPERATIONAL TEST FOR CARGO SMOKE PROTECTION</t>
  </si>
  <si>
    <t>                        xxiv.          AD 2021-02-14 : TO ADRESS POSSIBLE IGNITION OF FLAMMABLE FLUID VAPORS, FIRE, OR EXPLOSION, OF FUEL VAPOR INHALATION BY PASSENGERS AND CREW</t>
  </si>
  <si>
    <t>                         xxv.            BBJ/SB/737-28-1356 (FAA/AD/2020-18-13): FUEL - FUEL QUANTITY INDICATING SYSTEM (FQIS) - CENTER WING TANK FUEL QUANTITY INDICATING SYSTEM WIRE INSPECTION AND CHANGE</t>
  </si>
  <si>
    <t>                        xxvi.            BBJ/737/SL/28-063 : APU FUEL LINE SHROUD DRAIN MAST DAMAGE PROTECTION</t>
  </si>
  <si>
    <t>                      xxvii.            AD 2023-04-17 (SB/737-38A1072) : FITTING OF CLAMP FOR APU FUEL LINE SHROUD</t>
  </si>
  <si>
    <t>                     xxviii.            BBJ/SB/737-25-1713 : EQUIPMENT/FURNISHINGS - FLIGHT COMPARTMENT - FORWARD INSTRUMENT PANEL FOOT GUARDS INSTALLATION</t>
  </si>
  <si>
    <t>MEC/SM</t>
  </si>
  <si>
    <t>                        xxix.             BBJ/SB/737-25-1544R2 : EQUIPMENT/FURNISHING - PASSENGER CABIN PARTITIONS AND COMPARTMENTS - SUPPORT FITTING ASSEMBLY AIR CONDITIONING EXTRUSIONS REPLACEMENT -( ENGINEERING CHANGE MEMO- RRR38275-76S 737SL-51-042 AD 2009-01-02 SUPERSEDED BY AD2024-18-07)</t>
  </si>
  <si>
    <t>                         xxx.             BBJ/SB/737-53A1248R2 : FUSELAGE- BODY STATION 1016 AFT PRESSURE BULKHEAD WEB- INSPECTION FOR WEB CRACKS AT THE Y-CHORD</t>
  </si>
  <si>
    <t>MEC/SM/NDT/AV</t>
  </si>
  <si>
    <t>                        xxxi.             AD 2017-02-10 : DO  REPETITIVE INSPECTIONS FOR CRACKING OF THE SKIN  AROUND FASTERNERS COMMON TO THE ENDS  OF CERTAIN BULKHEADS  CHORDS ANDCORRECTIVEACTION</t>
  </si>
  <si>
    <t>                      xxxii.             BBJ/SB/737-53A1368 : FUSELAGE-SKIN-LOWER BULKHEAD CHORDS AT BODY STATION 540 -INSPECTION, REPAIR AND PREVENTIVE MODIFICATION</t>
  </si>
  <si>
    <t>                     xxxiii.             BBJ/SB/737-53A1232R3 : FUSELAGE - SKIN - CHEMICAL MILLED STEPS - INSPECTION, REPAIR AND PREVENTATIVE MODIFICATION</t>
  </si>
  <si>
    <t>                     xxxiv.             BBJ/SB/737-36-1021R2 : PNEUMATIC - BLEED AIR PRECOOLER SYSTEM - CHANGE TO THE AIRCRAFT CONDITION MONITORING SYSTEM TO GIVE MORE INPUTS TO THE DIGITAL FLIGHT DATA ACQUISITION UNIT FOR EASIER ENVIRONMENTAL CONTROL SYSTEM TROU</t>
  </si>
  <si>
    <t>                      xxxv.               BBJ/SB/737-27A1277R2 : FLIGHT CONTROLS - HORIZONTAL STABILIZER TRIM CONTROL SYSTEM - BALLSCREW AND BALL NUT INSPECTION, LUBRICATION, AND REPAIR/OVERHAUL</t>
  </si>
  <si>
    <t>                     xxxvi.               AD 2011-27-03 : BALLSCREW AND BALL NUT INSPECTION, LUBRICATION, AND REPAIR/OVERHAUL</t>
  </si>
  <si>
    <t>                   xxxvii.               BBJ/737/SL/32-116-B : CRACKS FOUND ON MAIN LANDING GEAR SYSTEM SUPPORT TRAYS</t>
  </si>
  <si>
    <t>                  xxxviii.               BBJ/737/SL/32-116 : CRACKS FOUND ON MAIN LANDING GEAR SYSTEM SUPPORT TRAYS</t>
  </si>
  <si>
    <t>                     xxxix.               BBJ/737/SL/54-021 : AFT STRUT FAIRING PANEL HEAT DAMAGE</t>
  </si>
  <si>
    <t>                              xl.                BBJ/737/SL/24-178-A : INTEGRATED DRIVE GENERATOR - INSTALLATION MODIFICATION TO PREVENT LANAYRD CHAFING LH ENGINE</t>
  </si>
  <si>
    <t>                              xl.                BBJ/737/SL/24-178-A : INTEGRATED DRIVE GENERATOR - INSTALLATION MODIFICATION TO PREVENT LANAYRD CHAFING RH ENGINE</t>
  </si>
  <si>
    <t>                              xl.                COMPLY WITH [BBJ/SB/737-27-1273R3] FLIGHT CONTROLS - AILERON AND AILERON TRIM CONTROL SYSTEM - AILERON BALANCE TAB LUBRICATION.</t>
  </si>
  <si>
    <t>                            xli.                COMPLY WITH INSPECTION  WINDOW NR 4 AND 5 - FLIGHT COMPARTMENT - FLIGHT DECKS - IAW [BOEING/SB/737-56A1022]</t>
  </si>
  <si>
    <t>COMPLY WITH [ AD 74-08-09R3 ] WASTE RECEPTACLE ENCLOSURE ACCESS DOOR AND DISPOSAL DOOR INSPECTION ADDED INSPECTION</t>
  </si>
  <si>
    <t>                            xliii.             COMPLY WITH [BBJ/SB/737-53-1307] FUSELAGE - FILLET FAIRINGS -AFT WING TO BODY FAIRING - PANEL 194E AND AFT CENTER WHEEL WELL PANEL 193D - INSPECTION REWORK</t>
  </si>
  <si>
    <t>SM</t>
  </si>
  <si>
    <t>                            xliv.               PERFORM IAW [AD 2018-23-09 &amp; BBJ/SB/737-55A1097R1] STABILIZERS - HORIZONTAL STABILIZER - REAR SPAR UPPER CHORD INSPECTION</t>
  </si>
  <si>
    <t>MEC/NDT</t>
  </si>
  <si>
    <t>                                       i.          BBJ/SB/737-71-1938 (AD 2025-04-01) INLET COWL AFT BULKHEAD FASTENERS AND CRUSHABLE SPACERS REPLACEMENT</t>
  </si>
  <si>
    <t>SM/NDT/MEC</t>
  </si>
  <si>
    <t>xxxviii.    BBJ/SB/737-71-1938 (AD 2025-04-01) INLET COWL AFT BULKHEAD FASTENERS AND CRUSHABLE SPACERS REPLACEMENT</t>
  </si>
  <si>
    <t>                                    xx.        AD 2025-04-02(BBJ/737-54-1059) CONCURRENT WITH  BBJ/SB/737-71-1937: TO ADDRESS FAN COWLS THAT ARE NOT STRENGTHENED</t>
  </si>
  <si>
    <t>f.                          AVIONIC AD’S/SB’S</t>
  </si>
  <si>
    <t>                                 i.                PERFORM [BOEING 737/SB/24-1149R5] CORROSION PROTECTION INSPECTION OF THE ELECTRICAL CONNECTORS IN THE MAIN WHEEL WELL</t>
  </si>
  <si>
    <t>                               ii.                COMPLY WITH [BBJ/SB/737-27-1273R3] FLIGHT CONTROLS - AILERON AND AILERON TRIM CONTROL SYSTEM - AILERON BALANCE TAB FREEPLAY CHECK.</t>
  </si>
  <si>
    <t>                              iii.                PERFORM BOEING/SB/737-24A1148 ELECTRICAL POWER-GENERAL-CORROSION PROTECTION OF THE ELECTRICAL CONNECTORS IN THE MAIN WHEEL WELL.</t>
  </si>
  <si>
    <t> RH THRUST REVERSER - ACTUATOR INTEGRITY TEST.   COMPLY WITH [AD 2019-18-03] CONDUCT AN INTEGRITY TEST OF THE THRUST REVERSER UPPER LOCKING ACTUATOR ON ALL 4 LOCKING ACTUATORS</t>
  </si>
  <si>
    <t>                               v.                COMPLY WITH [BBJ/SB/737-27-1289] TEST OF THE TAKE OFF WARNING SWITCHES</t>
  </si>
  <si>
    <t>                              vi.                COMPLY WITH [AD 2021-14-20] REPETITIVE FUNCTIONAL TESTS OF THE PRESSURE SWITCHES, AND ON-CONDITION ACTIONS, INCLUDING REPLACEMENT, IF NECESSARY</t>
  </si>
  <si>
    <t>                            vii.                HONEYWELL/SB/2118966-49-4211R1 : MODIFICATION OF CONTROLLER SOFTWARE PN 491A-TUS-A04-00, BOEING SOFTWARE PN S351A401-2003 TO SOFTWARE PN 491A-TUS-A05-00, BOEING SOFTWARE PN S351A401-2004</t>
  </si>
  <si>
    <t>                              viii.             BBJ/SB/737-34-2454R1 : NAVIGATION - AIR DATA SYSTEM - ALTIMETRY SYSTEM TES</t>
  </si>
  <si>
    <t>                                ix.             BBJ/SB/737-31-1293 : INDICATING/RECORDING SYSTEMS - COMMON DISPLAY SYSTEM - UPDATED PHASE 3 DISPLAY UNIT DATABASE INSTALLATION</t>
  </si>
  <si>
    <t>                                  x.             BBJ/737/SL/31-045 : OPTICAL QUICK ACCESS RECORDER (OQAR) D52000 SERIES MODIFICATION</t>
  </si>
  <si>
    <t>                                xi.             BBJ/SB/737-34A1801 : NAVIGATION- FMCC-CHANGE THE OPERATION PROGRAM SOFTWARE TO VERSION 10.5A</t>
  </si>
  <si>
    <t>                               xii.             FMC U14.1 SOFTWARE UPDATE</t>
  </si>
  <si>
    <t>NOSELANDING GEAR REMOVAL OF LOOMS &amp; ELECTRICAL PLUGS ASSISTING MECHANICS</t>
  </si>
  <si>
    <t>AVI</t>
  </si>
  <si>
    <t>L/H MAIN LANDING GEAR REMOVAL OF LOOMS &amp; ELECTRICAL PLUGS ASSISTING MECHANICS</t>
  </si>
  <si>
    <t>R/H MAIN LANDING GEAR REMOVAL OF LOOMS &amp; ELECTRICAL PLUGS ASSISTING MECHANICS</t>
  </si>
  <si>
    <t>REMOVE TACHO-METER No.1 FOR MAIN LANDING GEAR OVERHAUL</t>
  </si>
  <si>
    <t>REMOVE TACHO-METER No.2 FOR MAIN LANDING GEAR OVERHAUL</t>
  </si>
  <si>
    <t>REMOVE TACHO-METER No.3 FOR MAIN LANDING GEAR OVERHAUL</t>
  </si>
  <si>
    <t>REMOVE TACHO-METER No.4 FOR MAIN LANDING GEAR OVERHAUL</t>
  </si>
  <si>
    <t>REINSTALL / CONNECT ELECTRICAL PLUGS AND LOOMS OF NOSE LANDING GEAR</t>
  </si>
  <si>
    <t>REMOVAL OF LEFT HAND SIDE MAIN LANDING GEAR UPLOCK</t>
  </si>
  <si>
    <t>REMOVAL OF RIGHT HAND SIDE MAIN LANDING GEAR UPLOCK</t>
  </si>
  <si>
    <t xml:space="preserve">ASSIST MECHANIC WITH REMOVAL OF R/H MAIN LANDING GEAR UPLOCK SENSORS </t>
  </si>
  <si>
    <t>REMOVE NOSE LANDING GEAR DUE TO OVERHAUL</t>
  </si>
  <si>
    <t xml:space="preserve">REMOVE L/H MAIN LANDINGGEAR DUE TO OVEERHUAL </t>
  </si>
  <si>
    <t xml:space="preserve">REMOVE R/H MAIN LANDINGGEAR DUE TO OVEERHUAL </t>
  </si>
  <si>
    <t>LEFT HAND EMERGENCY LIGHT INOP</t>
  </si>
  <si>
    <t>INBOARD NAV LIGHT GREEN INOP</t>
  </si>
  <si>
    <t>REAR NAV LIGHT BULB INOP</t>
  </si>
  <si>
    <t>LAND VERIFY</t>
  </si>
  <si>
    <t>06 NOV 202</t>
  </si>
  <si>
    <t>OXYGEN MASK DROP OUT FOR TRANSFER LIST</t>
  </si>
  <si>
    <t>CONVERTER CONTROL PANEL INOP</t>
  </si>
  <si>
    <t>MAIN BAT AND AUX MOUNTING BOLTS MISSING</t>
  </si>
  <si>
    <t>MASTER BEDROOM PSU NOT LATCHING</t>
  </si>
  <si>
    <t>HEADUP DISPLAY UNIT BRACKET CRACKED SEVERAL</t>
  </si>
  <si>
    <t>CABIN READING LIGHTS INOP</t>
  </si>
  <si>
    <t>SEVERAL CABIN CELLING LIGHTS INOP</t>
  </si>
  <si>
    <t>VHF ANTENNA CHIPPED</t>
  </si>
  <si>
    <t>JACK SCREW SERVICE LIGHT INOP</t>
  </si>
  <si>
    <t>FLIGHT DATA RECORDER REMOVAL FOR BENCH DOWNLOAD</t>
  </si>
  <si>
    <t>EMERGENCY LOCATOR BEACON REMOVED. REFER TO TASK NO 659</t>
  </si>
  <si>
    <t>INSTALL FDR POST DOWNLOAD</t>
  </si>
  <si>
    <t>INSTALL ELT POST BENCH TEST</t>
  </si>
  <si>
    <t>REPLACE EMERGENCY FLASH LIGHT BATTERIES</t>
  </si>
  <si>
    <t>ASSIST MECH BY REMOVING R/H WING TIP LIGHT. DISCONNECT ELECTRICAL CONNECTORS</t>
  </si>
  <si>
    <t>RECONNECT WING TIP LIGHT R/H ELECTRICAL CONNECTORS ON INTALLATION AND TEST LIGHT,</t>
  </si>
  <si>
    <t>HF/VHF #2 CONTROL PANEL INTERMITTENT, REPLACE CONTROL PANEL</t>
  </si>
  <si>
    <t>CVR ULB ROBBED TO SERVICE ZS-CAQ (AUTHORITY No 140/2025)</t>
  </si>
  <si>
    <t>INSTALL CVR ULB AND TEST WHEN SPARES AVAILABLE</t>
  </si>
  <si>
    <t>REMOVE R/H IGNITER PLUG FOR BORESCOPE INSPECTION ENGINE #2</t>
  </si>
  <si>
    <t>INSTALL R/H IGNITER PLUG WHEN SPARES ARE AVAILABLE</t>
  </si>
  <si>
    <t>REMOVE L/H IGNITER PLUG FOR BORESCOPE INSPECTION ENGINE #2</t>
  </si>
  <si>
    <t>INSTALL L/H IGNITER PLUG WHEN SPARES ARE AVAILABLE</t>
  </si>
  <si>
    <t>ASSIST MECH BY REMOVING L/H WING TIP LIGHT. DISCONNECT ELECTRICAL CONNECTORS</t>
  </si>
  <si>
    <t>RECONNECT L/H WING TIP LIGHT ELECTRICAL CONNECTORS ON INTALLATION AND TEST LIGHT,</t>
  </si>
  <si>
    <t>MAIN WHEEL WELL WIRING FOUND DIRTY PLEASE CLEAN AND INSPECT</t>
  </si>
  <si>
    <t>L/H WING LEADING EDGE WIRING FOUND DIRTY, PLEASE CLEAN AND INSPECT WIRING</t>
  </si>
  <si>
    <t>R/H WING LEADING EDGE WIRING FOUND DIRTY, PLEASE CLEAN AND INSPECT WIRING</t>
  </si>
  <si>
    <t>L/H WING TRAILING EDGE WIRING FOUND DIRTY, PLEASE CLEAN AND INPECT WIRING</t>
  </si>
  <si>
    <t>R/H WING TRAILING EDGE WIRING FOUND DIRTY, PLEASE CLEAN AND INPECT WIRING</t>
  </si>
  <si>
    <t>JACK SCREW WIRING FOUND DIRTY, PLEASE CLEAN AND INSPECT</t>
  </si>
  <si>
    <t>ASSIST WITH REMOVAL OF R/H ENGINE COWLING BY REMOVING T12 ELECTRICAL CONECTORS</t>
  </si>
  <si>
    <t>ASSIST WITH REMOVAL OF L/H ENGINE COWLING BY REMOVING T12 ELECTRICAL CONECTORS</t>
  </si>
  <si>
    <t>RECONNECT T12 ELECTRICAL CONNECTORS AFTER INSPECTION R/H ENGINE AND TESTED</t>
  </si>
  <si>
    <t>RECONNECT T12 ELECTRICAL CONNECTORS AFTER INSPECTION L/H ENGINE AND TESTED</t>
  </si>
  <si>
    <t>ASSIST WITH REMOVAL OF MASTER OFFICE DIVAN CHAIRS, REMOVE ELECTRICAL CONNECTORS</t>
  </si>
  <si>
    <t>ASSIST WITH REMOVAL OF EXCUTIVE AREA CHAIRS, DISCONNECT ELECTRICAL CONNECTORS</t>
  </si>
  <si>
    <t>ASSIST WITH REMOVAL OF SENIOR EXCUTIVE CHAIRS DISCONNECT ELECTRICAL CONNECTORS</t>
  </si>
  <si>
    <t>ASSIST WITH REMOVAL OF CREW AREA CHAIRS, DISCONNECT ELECTRICAL CONNECTORS</t>
  </si>
  <si>
    <t>AFT GALLEY-AIR CHILLER FOND DIRTY, REMOVE AND CLEAN AIR CHILLER</t>
  </si>
  <si>
    <t>INSTALL AFT GALLEY AIR CHILLER AFTER CLEANING</t>
  </si>
  <si>
    <t>ASSIST MECHANIC WITH REMOVAL OF CARGO FIRE BOTTLE BY DISCONNECTING CONNECTORS</t>
  </si>
  <si>
    <t>RECONNECT CARGO FIRE BOTTLE ELECTRICAL CONNECTOR AFTER INSALLATION</t>
  </si>
  <si>
    <t>ASSIST WITH REMOVAL OF #1 FIRE CARGO BOTTLE BY DISCONNECTING ELECTRICAL PLUGS</t>
  </si>
  <si>
    <t>REINSTALL / CONNECT ELECTRICAL PLUGS AND LOOMS OF L/H MAIN LANDING GEAR</t>
  </si>
  <si>
    <t>REINSTALL / CONNECT ELECTRICAL PLUGS AND LOOMS OF R/H MAIN LANDING GEAR</t>
  </si>
  <si>
    <t>REINSTALL / CONNECT TACO METER No.1</t>
  </si>
  <si>
    <t>REINSTALL / CONNECT TACO METER No.2</t>
  </si>
  <si>
    <t>REINSTALL / CONNECT TACO METER No.3</t>
  </si>
  <si>
    <t>REINSTALL / CONNECT TACO METER No.4</t>
  </si>
  <si>
    <t>REMOVE REFRIGIRATOR FOR CLEANING &amp; INSPECTION</t>
  </si>
  <si>
    <t>INSTALL REFRIGIRATOR FOR CLEANING &amp; INSPECTION</t>
  </si>
  <si>
    <t>OXYGEN MASK STOWAGE BOX REMOVAL F/O</t>
  </si>
  <si>
    <t>ASSIST MECHANIC WITH REMOVAL OF MDL PNL1 BY DISCONNECTING ELECTRICAL CONNECTORS</t>
  </si>
  <si>
    <t>INSTALL MDL PNL 1 AND RECONNECT CONNECTORS AFTER INSPECTION (S/N: 32627)</t>
  </si>
  <si>
    <t>REMOVE CAPT OXYGEN MASK STOWAGE BOX TO ASSIST MECHANIC WITH INSPECTION</t>
  </si>
  <si>
    <t>INSTALL F/O OXYGEN STOWAGE BOX AFTER INSPECTION</t>
  </si>
  <si>
    <t>INTALL CAPT OXYGEN STOWAGE BOX AFTER INSPECTION</t>
  </si>
  <si>
    <t>ASSIST MECHANIC WITH REMOVAL OF L/H MAIN LANDING GEAR UPLOCK SENSORS</t>
  </si>
  <si>
    <t>REFIT L/H MAIN LANDING GEAR UPLOCK SENSOR AFTER INSPECTION</t>
  </si>
  <si>
    <t>REFIT R/H MAIN LANDING GEAR UPLOCK SENSOR AFTER INSPECTION</t>
  </si>
  <si>
    <t>REMOVE MASTER BATHROOM TELEPHONE FOR MECH ACCESS AND INPECTION</t>
  </si>
  <si>
    <t>REFIT MASTER BATHROOM TELEPHONE AFTER INSPECTION</t>
  </si>
  <si>
    <t>REMOVE 1ST OBSREVER OXYGEN MASK FOR MECH ACCESS INSPECTION</t>
  </si>
  <si>
    <t>REMOVE 2ND OBSERVER OXYGEN MASK FOR MECH ACCESS INSPECTION</t>
  </si>
  <si>
    <t>REFIT 1ST OBSERVER OXYGEN MASK AFTER INSPECTION</t>
  </si>
  <si>
    <t>REFIT 2ND OBSERVER OXYGEN MASK AFTER INSPECTION</t>
  </si>
  <si>
    <t>REMOVAL OF APU STATER GENERATOR  DIODE LOOM</t>
  </si>
  <si>
    <t>REMOVE APU ELECTRICAL PLUGS / CONNECTORS (REED)</t>
  </si>
  <si>
    <t>REMOVE MICROWAVE FOR CLEANING &amp; INSPECTION No.1</t>
  </si>
  <si>
    <t>REMOVE STEAM OVEN No.1 FOR CLEANING &amp; INPECTION</t>
  </si>
  <si>
    <t>REMOVE STEAM OVEN No.2 FOR CLEANING &amp; INPECTION</t>
  </si>
  <si>
    <t>REMOVE COFFEE MAKER FOR CLEANING &amp; INSPECTION</t>
  </si>
  <si>
    <t>REMOVE CEILING LIGHTS LED</t>
  </si>
  <si>
    <t>REMOVE DVD 3 FOR MASTER BED ROOM</t>
  </si>
  <si>
    <t>REMOVE MASTER BED SOUND / AUDIO SPEAKER</t>
  </si>
  <si>
    <t>REMOVE MASTER BED TELEPHONE</t>
  </si>
  <si>
    <t>INSTALL MEDICAL O2 BOTTLE POST DISCARD</t>
  </si>
  <si>
    <t>REMOVE MEDICAL O2 CYLINDER FOR HYDRO-STATIC TESTING &amp; INSPECTION</t>
  </si>
  <si>
    <t>REMOVE CREW O2 CYLINDER FOR HYDRO-STATIC TESTING &amp; INSPECTION</t>
  </si>
  <si>
    <t>INSTALL CREW O2 CYLINDER POST HYDRO-STATIC TESTING</t>
  </si>
  <si>
    <t>REMOVE P8 PANEL / COMPONENTS (CENTER CONSOLE)</t>
  </si>
  <si>
    <t>EZAP FOR FIXED TRAILING EDGE L/H WING. REF: 366 WIRING INSPECTION</t>
  </si>
  <si>
    <t>WIRING INSPECTION NACELLE STRUT L/H WING REF: 343</t>
  </si>
  <si>
    <t>EZAP FOR FAIRING FLAP No.3 INSPECTION REF: 354</t>
  </si>
  <si>
    <t>WIRING INSPECTION FOR OUTBOARD NACELLE LEADING EDGE TO FRONT SPAR. REF: 347</t>
  </si>
  <si>
    <t>WIRING INSPECTION FOR KRUGER FLAPS 1 &amp; 2 FIXED TRAILING EDGE L/H. REF: 533</t>
  </si>
  <si>
    <t>DISCONNET L/H EMRGENCY AFT LIGHT AND REMOVE PANELS FOR INSPECTION</t>
  </si>
  <si>
    <t>RECONNECT  L/H EMERGENCY LIGHT AND INSTALL PANELS AFTER INSPECTION</t>
  </si>
  <si>
    <t>DISCONNET R/H EMRGENCY AFT LIGHT AND REMOVE PANELS FOR INSPECTION</t>
  </si>
  <si>
    <t>RECONNECT  R/H EMERGENCY LIGHT AND INSTALL PANELS AFTER INSPECTION</t>
  </si>
  <si>
    <t>REMOVE FWD ATTENDENT HANDSET AND CRADLE FOR ACCESS</t>
  </si>
  <si>
    <t>INSTALL FWD ATTENDENT HANDSET AND CRADLE AFTER INSPECTION</t>
  </si>
  <si>
    <t>REMOVE FWD FLASH LIGHT BRACKET FOR ACCESS</t>
  </si>
  <si>
    <t>INSTALL FWD FLASH LIGHT BRACKET AFTER INSPECTION</t>
  </si>
  <si>
    <t>REMOVE AND DISCONNECT MASTER OFFICE TV FOR INSPECTION</t>
  </si>
  <si>
    <t>RECONNECT AND INSTALL MASTER OFFICE TV AFTER INSPECTION</t>
  </si>
  <si>
    <t>THE APU STATER GENERATOR POWER FEEDER WIRING FOUND DIRTY, PLEASE CLEAN</t>
  </si>
  <si>
    <t>EXPOSED EWIS IN THE AREA FROM LEADING EDGE TO FRONT SPAR RIGHT WING FOUND DIRTY PLEASE CLEAN</t>
  </si>
  <si>
    <t>REMOVE SECOND ( No2) MDL PANEL IN THE MASTER OFFICE AREA,</t>
  </si>
  <si>
    <t>INSTALL SECOND ( No2) MDL PANEL IN THE MASTER OFFICE AREA,</t>
  </si>
  <si>
    <t>ASSIST MECHANICS WITH THE REMOVAL OF S-PANEL FURNITURE IN THE ISLE AREA. (REMOVE PLUGS)</t>
  </si>
  <si>
    <t>ASSIT MECHANIC WITH REMOVAL OF GALLEY FURNITURE. REMOVE ELECTRICAL PLUGS  &amp; WIRES IN GALLEY</t>
  </si>
  <si>
    <t>ASSIST MECHANIC WITH THE REMOVAL OF FLIGHT DECK PANELS. PLUGS &amp; DOME LIGHTS &amp; CONNECTORS.</t>
  </si>
  <si>
    <t>REMOVE MCDU's, MFD's AND PFD's SCREENS IN THE FLIGHT DEC.</t>
  </si>
  <si>
    <t>INSTALL MCDU's, MFD's AND PFD's SCREENS IN THE FLIGHT DEC.</t>
  </si>
  <si>
    <t>REMOVE BONDING FROM WING TO BODY FAIRING</t>
  </si>
  <si>
    <t>REMOVE HF TRANSIEVERS AND ASSOCIATED COMPONENTS IN THE AFT CARGO BAY FOR SAFETY</t>
  </si>
  <si>
    <t>INSTALL HF TRANSIEVERS AND ASSOCIATED COMPONENTS IN THE AFT CARGO BAY FOR SAFETY</t>
  </si>
  <si>
    <t>REMOVAL OF EXCUTIVE AREA SEATS AND FURNITURE ELECTRICAL PLUGS &amp; CABLES. REF: 1053</t>
  </si>
  <si>
    <t>REMOVAL OF EXCUTIVE AREA MONITORS, ELECTRICAL PLUGS &amp; CABLES AND LED LIGHTS</t>
  </si>
  <si>
    <t>INSTALL EXCUTIVE AREA MONITORS</t>
  </si>
  <si>
    <t>REMOVE OVERHEAD PASSENGER MONITORS ELECTRICAL / AVIONICS COMPONENTS FOR ACESS TO INSPECT.</t>
  </si>
  <si>
    <t>COMPONENT IDENTIFICATION OF ALL E &amp; E COMPONENTS. (AVIONICS) EQUIPMENT</t>
  </si>
  <si>
    <t>COMPONENTS IDENTIFICATION OF ALL AVIONICS EQUIPMENTS IN THE FLIGHT DECK.</t>
  </si>
  <si>
    <t>COMPONENTS IDENTIFICATION OF ALL SOURCE RACK ENTERTAINMENT EQUIPMENT IN THE AFT CABIN</t>
  </si>
  <si>
    <t>REMOVE THE HEAD-UP DISPLAY UNIT</t>
  </si>
  <si>
    <t>INSTALL THE HEAD-UP DISPLAY UNIT</t>
  </si>
  <si>
    <t>TEST THE HEAD-UP DISPLAY UNIT</t>
  </si>
  <si>
    <t>EWIS P5 (FWD / AFT), P6, P18 WAS FOUND DIRTY. PLEASE CLEAN. REF: 415</t>
  </si>
  <si>
    <t>EWIS IN CONTROL STAND, GLARE SHIELD WAS FOUND DIRTY CLEANING NEEDED. REF: 416</t>
  </si>
  <si>
    <t>REMOVAL OF SECURAPLANE POWER COMMUNICATION MODULE (TASK No 2123 FOR BATTERY REPLACEMENT</t>
  </si>
  <si>
    <t>Thendo</t>
  </si>
  <si>
    <t>REMOVAL OF THE FUEL SHUT-OFF VALVE (TASK No: 634) MODULE FOR BATTERY REPLACEMENT</t>
  </si>
  <si>
    <t>INSTALL SECURAPLANE POWER COMMUNICATION MODULE AFTER BATTERY REPLACEMENT</t>
  </si>
  <si>
    <t>INSTALL FUEL SHUT-OFF VALVE (TASK No: 634) MODULE FOR BATTERY AFTER BATTERY REPLACEMENT,</t>
  </si>
  <si>
    <t>CABIN EWIS TO BE CLEANED, VACUUMED AND INSPECTED,</t>
  </si>
  <si>
    <t>ENGINE #1 AND ENGINE #2 EWIS INSPECTION AND CLEANING  TO BE CARRIED OUT</t>
  </si>
  <si>
    <t>FLIGHT DECK COMPARTMENT CLEANING OF EWIS AND INSPECTION</t>
  </si>
  <si>
    <t>APU AND EMPANAGE EWIS CLEANING AND INSPECTION.</t>
  </si>
  <si>
    <t>REMOVE CREW GALLEY WIRES &amp; PLUGS (ELECTRICAL) REF: 1170</t>
  </si>
  <si>
    <t>INTSALL CREW GALLEY WIRES &amp; PLUGS AFTER INSPECTION. REF: 1171</t>
  </si>
  <si>
    <t>REMOVE CEILLING PANELS (HEADLINER, S-PANELS, VALENCE PANELS) WIRES &amp; ELECTRICAL PLUGS. REF: 1172</t>
  </si>
  <si>
    <t>REMOVE FORWARD GROUP AUX, TANKS FUEL CELL No:1 WIRES/LOOM AND ELECTRICAL PLUGS.</t>
  </si>
  <si>
    <t>REMOVE FORWARD GROUP No:2  AUX, TANKS FUEL CELL ELECTRICAL LOOM AND PLUGS</t>
  </si>
  <si>
    <t>REMOVE FORWARD GROUP No:3  AUX, TANKS FUEL CELL ELECTRICAL LOOM AND PLUGS</t>
  </si>
  <si>
    <t>REMOVE FORWARD GROUP No:4  AUX, TANKS FUEL CELL ELECTRICAL LOOM AND PLUGS</t>
  </si>
  <si>
    <t>REMOVE AFT GROUP No:5  AUX, TANKS FUEL CELL ELECTRICAL LOOM AND PLUGS</t>
  </si>
  <si>
    <t>REMOVE AFT GROUP No:6  AUX, TANKS FUEL CELL ELECTRICAL LOOM AND PLUGS</t>
  </si>
  <si>
    <t>REMOVE AFT GROUP No:7  AUX, TANKS FUEL CELL ELECTRICAL LOOM AND PLUGS</t>
  </si>
  <si>
    <t>REMOVE AFT GROUP No:8  AUX, TANKS FUEL CELL ELECTRICAL LOOM AND PLUGS</t>
  </si>
  <si>
    <t>INSTALL FORWARD GROUP No:1  AUX, TANKS FUEL CELL ELECTRICAL LOOM AND PLUGS</t>
  </si>
  <si>
    <t>INSTALL FORWARD GROUP No:2  AUX, TANKS FUEL CELL ELECTRICAL LOOM AND PLUGS</t>
  </si>
  <si>
    <t>INSTALL FORWARD GROUP No:3  AUX, TANKS FUEL CELL ELECTRICAL LOOM AND PLUGS</t>
  </si>
  <si>
    <t>INSTALL AFT GROUP No:4  AUX, TANKS FUEL CELL ELECTRICAL LOOM AND PLUGS</t>
  </si>
  <si>
    <t>INSTALL AFT GROUP No:5  AUX, TANKS FUEL CELL ELECTRICAL LOOM AND PLUGS</t>
  </si>
  <si>
    <t>INSTALL AFT GROUP No:6  AUX, TANKS FUEL CELL ELECTRICAL LOOM AND PLUGS</t>
  </si>
  <si>
    <t>INSTALL AFT GROUP No:7  AUX, TANKS FUEL CELL ELECTRICAL LOOM AND PLUGS</t>
  </si>
  <si>
    <t>INSTALL AFT GROUP No:8  AUX, TANKS FUEL CELL ELECTRICAL LOOM AND PLUGS</t>
  </si>
  <si>
    <t>REMOVE INTERGRATED STANDBY FLIGHTH SYSTEM INDICATOR FOR INTERNAL BATTERY REPLACEMENT. REF: J/C No: 43</t>
  </si>
  <si>
    <t>AVIO</t>
  </si>
  <si>
    <t>REMOVE AQUAJET POWER DISTRUBUTION PANEL FOR THE SHOWER</t>
  </si>
  <si>
    <t>INSTALL AQUAJET POWER DISTRUBUTION PANEL FOR THE SHOWER</t>
  </si>
  <si>
    <t>REMOVE SHOWER WATER HEATER</t>
  </si>
  <si>
    <t>INSTALL SHOWER WATER HEATER</t>
  </si>
  <si>
    <t>HOUSE KEEPING . DAILY HANGAR CLEANING</t>
  </si>
  <si>
    <t>ALL</t>
  </si>
  <si>
    <t>CLEAN THE LH MAIN LANDING GEAR  FOR THE PREPARATION OF SHIPPING FOR OVERHAUL</t>
  </si>
  <si>
    <t>CLEAN THE RH MAIN LANDING GEAR  FOR THE PREPARATION OF SHIPPING FOR OVERHAUL</t>
  </si>
  <si>
    <t>CLEAN THE NOSE LANDING GEAR  FOR THE PREPARATION OF SHIPPING FOR OVERHAUL</t>
  </si>
  <si>
    <t>CLEAN THE APU  FOR THE PREPARATION OF SHIPPING FOR REPAIR STATION</t>
  </si>
  <si>
    <t>CLEAN THE CONTROL CABIN AFTER REMOVAL OF THE ITEMS FOR THE PREPARATION OF THE DETAIL INSPECTIONS</t>
  </si>
  <si>
    <t>CLEAN THE FWD CABIN AFTER REMOVAL OF THE ITEMS FOR THE PREPARATION OF THE DETAIL INSPECTIONS</t>
  </si>
  <si>
    <t>CLEAN THE AFT CABIN AFTER REMOVAL OF THE ITEMS FOR THE PREPARATION OF THE DETAIL INSPECTIONS</t>
  </si>
  <si>
    <t>CLEAN THE FWD CARGO AFTER REMOVAL OF THE ITEMS AND BLACKETS FOR THE PREPARATION OF THE DETAIL INSPECTIONS</t>
  </si>
  <si>
    <t>CLEAN THE AFT CARGO AFTER REMOVAL OF THE ITEMS AND BLACKETS FOR THE PREPARATION OF THE DETAIL INSPECTIONS</t>
  </si>
  <si>
    <t>CLEAN THE MAIN E&amp;E COMPARTMENT AFTER REMOVAL OF THE COMPONENTS FOR THE PREPARATION OF THE DETAIL INSPECTIONS</t>
  </si>
  <si>
    <t>CLEAN THE FWD E&amp;E COMPARTMENT AFTER REMOVAL OF THE ITEMS AND BLACKETS FOR THE PREPARATION OF THE DETAIL INSPECTIONS</t>
  </si>
  <si>
    <t>CLEAN THE AIRCORDITION COMPARTMENT AFTER REMOVAL OF THE ITEMS FOR THE PREPARATION OF THE DETAIL INSPECTIONS</t>
  </si>
  <si>
    <t xml:space="preserve">CLEAN THE MAIN LANDING GEAR WHEELWELL  FOR THE PREPARATION OF THE DETAIL INSPECTIONS </t>
  </si>
  <si>
    <t xml:space="preserve">CLEAN THE NOSE LANDING GEAR WHEELWELL  FOR THE PREPARATION OF THE DETAIL INSPECTIONS </t>
  </si>
  <si>
    <t xml:space="preserve">CLEAN THE APU COMPARTMENT   FOR THE PREPARATION OF THE DETAIL INSPECTIONS </t>
  </si>
  <si>
    <t xml:space="preserve">CLEAN JACK SCREW  FOR THE PREPARATION OF THE DETAIL INSPECTIONS </t>
  </si>
  <si>
    <t>CLEAN THE LH WING TRAILING EDGE FLAPS  C-CHECK ITEMS FOR INSPECTIONS OF FLIGHT CONTROLS</t>
  </si>
  <si>
    <t>CLEAN THE LH WING LEADING EDGE FLAPS  C-CHECK ITEMS FOR INSPECTIONS OF FLIGHT CONTROLS</t>
  </si>
  <si>
    <t>CLEAN THE RH WING TRAILING EDGE FLAPS  C-CHECK ITEMS FOR INSPECTIONS OF FLIGHT CONTROLS</t>
  </si>
  <si>
    <t>CLEAN THE RH WING LEADING EDGE FLAPS  C-CHECK ITEMS FOR INSPECTIONS OF FLIGHT CONTROLS</t>
  </si>
  <si>
    <t>CLEAN ALL REMOVED ITEMS IN THE CONTROL CABIN FOR INSPECTION AND PREPARATION FOR INSTALLATIONS</t>
  </si>
  <si>
    <t>CLEAN ALL REMOVED ITEMS IN THE MAIN CABIN FOR INSPECTION AND PREPARATION FOR INSTALLATIONS</t>
  </si>
  <si>
    <t>CLEAN ALL REMOVED ITEMS IN THE MAIN E&amp;E COMPARTMENS FOR INSPECTION AND PREPARATION FOR INSTALLATIONS</t>
  </si>
  <si>
    <t xml:space="preserve">FINAL WASH FOR A/C EXTERIOR </t>
  </si>
  <si>
    <t xml:space="preserve">FINAL WASH FOR A/C INTERIOR </t>
  </si>
  <si>
    <t>CABIN MANAGEMENTS SYSTEM PREPARATIONS</t>
  </si>
  <si>
    <t>NON-DESTRUCTIVE TEST TASK CARDS</t>
  </si>
  <si>
    <t>NDT MANUAL REF</t>
  </si>
  <si>
    <t xml:space="preserve">WING CENTER SECTION- SHEAR FITTINGS AT THE FRONT SPAR.          PART 5, 57-10-01 </t>
  </si>
  <si>
    <t xml:space="preserve">PART 5, 57-10-01 </t>
  </si>
  <si>
    <t>AFT BULKHEAD FRAME OF THE WHEELWELLAT BS 727(HFEC).           PART 6, 53-10-92</t>
  </si>
  <si>
    <t>PART 6, 53-10-92</t>
  </si>
  <si>
    <t xml:space="preserve">AFT BULKHEAD CHORD OF THE WHEELWELLAT BS 727(HFEC).          PART 6, 53-10-93           </t>
  </si>
  <si>
    <t>PART 6, 53-10-93</t>
  </si>
  <si>
    <t>SPLICE ANGLEAND INNER CHORD INSPECTIONAT THE BS 727AFT WHEEL WELL BULKHEADAND PRESSURE WEB(HFEC). PART 6 53-11-25</t>
  </si>
  <si>
    <t>PART 6,  53-11-14</t>
  </si>
  <si>
    <t>PART 6,  53-11-25</t>
  </si>
  <si>
    <t>FUSELAGE- STIFFENERATTACHMENT FITTING TO THE FLOOR BEAMATTHEBS727 PRESSURE BULKHEAD(HFEC). PART 6, 53-11-29</t>
  </si>
  <si>
    <t>PART 6, 53-11-29</t>
  </si>
  <si>
    <t>OPEN HOLE INSPECTION OF LOWER STUB BEAM STRAPS.                 PART 6, 53-11-61</t>
  </si>
  <si>
    <t>PART 6, 53-11-61</t>
  </si>
  <si>
    <t>WING REAR SPAR-STA663.75 REAR SPAR BULKHEAD SIDE FRAME FITTING(PICKLE FORK FITTING). PART 6, 53-11-58</t>
  </si>
  <si>
    <t>PART 6, 53-11-58</t>
  </si>
  <si>
    <t>HORIZONTAL STABILIZER- TERMINAL FITTINGADJACENT TO THE UPPER CHORD OF THE
REAR SPAR. PART 6 55-10-18</t>
  </si>
  <si>
    <t>PART 6, 55-10-21</t>
  </si>
  <si>
    <t>UPPER CHORD TERMINAL FITTINGAT THE REAR SPAR OF THE HORIZONTAL STABILIZER. PART 6, 55-10-21</t>
  </si>
  <si>
    <t>AUXILIARY FUEL TANK INSPECTION. PART 6 28-10-01</t>
  </si>
  <si>
    <t>PART 6, 28-10-01</t>
  </si>
  <si>
    <t>AD's &amp; SB's TASKS</t>
  </si>
  <si>
    <t>AD's &amp; SB's NUMBER</t>
  </si>
  <si>
    <t>FLIGHT CONTROLS-HORIZONTAL STABILIZER TRIM CONTROL SYSTEM- HORIZONTALSTABILIZER TRIM ACTUATOR LOWER GIMBAL ASSEMBLY FASTENER INSPECTION AND TORQUE CHECK. SB737-27A1330</t>
  </si>
  <si>
    <t>SB737-27A1330 RB</t>
  </si>
  <si>
    <t>STABILIZER-HORIZONTAL-PIVOT HINGE AND JACKSCREW FREEPLAY INSPECTION</t>
  </si>
  <si>
    <t>SB737-55A1104 RB</t>
  </si>
  <si>
    <t xml:space="preserve">ENGINNERING -PLANNING REVIEWING OF THE MPD AND PRINTING OF BOEING TASK CARDS </t>
  </si>
  <si>
    <t>BBJ 1 M0 Inspection</t>
  </si>
  <si>
    <t>Operational check of the standby power control unit (SPCU). AIRPLANE NOTE: Applies to airplanes with dual battery installation only.[BBJ TASK 24-100-00-01]/ [AMM24-34-00-710-802]</t>
  </si>
  <si>
    <t>1.5</t>
  </si>
  <si>
    <t>24-100-00-01</t>
  </si>
  <si>
    <t>24-34-00-710-802</t>
  </si>
  <si>
    <t>BBJ 30 MO Inspection</t>
  </si>
  <si>
    <t>Inspect(General Visual) all exposed EWIS in the Main Landing Gear Wheel Well.(EZAP) INTERVAL NOTE: Whichever comes first. ACCESSNOTE: Through main landing gear opening.[BBJ TASK 20-360-00-01]/[AMM 05-42-01-210-801 &amp; 20-60-04-100-801]</t>
  </si>
  <si>
    <t>20-360-00-01</t>
  </si>
  <si>
    <t>05-42-01-210-801 &amp; 20-60-04-100-801</t>
  </si>
  <si>
    <t>Inspect(Detailed) the IDG power feeder wiring and connected EWIS-Engine No.1.(EZAP) INTERVALNOTE:Whichever comes first. [BBJ TASK 20-470-00-01]/[AMM 05-42-04-211-801 &amp; 20-60-03-100-801]</t>
  </si>
  <si>
    <t>20-470-00-01</t>
  </si>
  <si>
    <t>05-42-04-211-801 &amp; 20-60-03-100-801</t>
  </si>
  <si>
    <t>Inspect(Detailed) the IDG power feeder wiring and connected EWIS-Engine No.2. (EZAP) INTERVAL NOTE: Whichever comes first. [BBJ TASK 20-480-00-01]/[AMM 05-42-04-211-802 &amp;
20-60-03-100-801]</t>
  </si>
  <si>
    <t xml:space="preserve"> 20-480-00-01</t>
  </si>
  <si>
    <t>05-42-04-211-802 &amp;
20-60-03-100-801]</t>
  </si>
  <si>
    <t>BBJ 6 MO Inspection</t>
  </si>
  <si>
    <t>Operationally check the flap skew and flap asymmetry systems by initiating a BITE check of the Flap/Slat Electronics Unit (FSEU). INTERVAL NOTE:Whichever occurs first. [BBJ TASK 27-162-00-01]/[AMM 27-51-00-740-802]</t>
  </si>
  <si>
    <t>27-162-00-01</t>
  </si>
  <si>
    <t>27-51-00-740-802</t>
  </si>
  <si>
    <t>Operationally check the standby rudder system.To include observing low pressure light illumination and the next inguishing. INTERVAL NOTE:Whichever occurs first.[BBJ TASK 29-230-00-01]/[AMM 29-21-00-700-803]</t>
  </si>
  <si>
    <t>29-230-00-01</t>
  </si>
  <si>
    <t>29-21-00-700-803</t>
  </si>
  <si>
    <t>Operational check of the emergency lights. [BBJ TASK 33-010-00-01]/[AMM 33-51-00-710-801]</t>
  </si>
  <si>
    <t>33-010-00-01</t>
  </si>
  <si>
    <t>33-51-00-710-801</t>
  </si>
  <si>
    <t>Operational check of the emergency lights. [BBJ TASK 33-010-00-02]/[AMM 33-51-00-710-802]</t>
  </si>
  <si>
    <t>33-010-00-02</t>
  </si>
  <si>
    <t>33-51-00-710-802</t>
  </si>
  <si>
    <t>Perform an external zonal inspection(GV) of the doors. Inspection is accomplished from the ground, without the use of stands or ladders. No additional access panel is required. AIRPLANE NOTE:Mid-Exit Doors only on 900ER. ACCESS NOTE: Door closed. [BBJ TASK 52-800-00-01]/[AMM 05-41-08-210-801]</t>
  </si>
  <si>
    <t>52-800-00-01</t>
  </si>
  <si>
    <t>05-41-08-210-801</t>
  </si>
  <si>
    <t>BBJ 2 YR/24 MO Inspection</t>
  </si>
  <si>
    <t>Functionally check the left wing aileron tab freeplay. SPECIAL NOTE: CMR Task(27-CMR-12 applicable to 737-900ER) interval for this task is 8,000FH/24months, whichever comes first. See CMR Document D626A001-9-03 [BBJ TASK 27-033-00-01]/[AMM 27-09-91-200-806]</t>
  </si>
  <si>
    <t>27-033-00-01</t>
  </si>
  <si>
    <t>27-09-91-200-806</t>
  </si>
  <si>
    <t>Functionally check the right wing aileron tab freeplay. SPECIAL NOTE: CMR Task(27-CMR-12 applicable to737-900ER) interval for this task is 8,000FH/24months, whichever comes first. See CMR Document D626A001-9-03. [BBJ TASK 27-033-00-02]/[AMM 27-09-91-200-806]</t>
  </si>
  <si>
    <t>27-033-00-02</t>
  </si>
  <si>
    <t>BBJ 1 YR/12 MO Inspection</t>
  </si>
  <si>
    <t>Operationally check the Emergency Locator Transmitter (Automatic/Fixed Type). AIRPLANENOTE: If Installed. INTERVAL NOTE: Interval for P/N453-5004, P/N453-5002 is 1YR [BBJ TASK 23-100-00-01]/[AMM23-24-00-730-804-001]</t>
  </si>
  <si>
    <t>23-100-00-01</t>
  </si>
  <si>
    <t>23-24-00-730-804-001</t>
  </si>
  <si>
    <t>Operationally check the Emergency Locator Transmitter (Automatic/Fixed Type). AIRPLANE NOTE: If Installed. INTERVAL NOTE: Interval for P/N453-5004,P/N453-5002 is 1YR [BBJ TASK 23-100-00-02]/[AMM 23-24-00-730-802-002]</t>
  </si>
  <si>
    <t>23-100-00-02</t>
  </si>
  <si>
    <t>23-24-00-730-802-002</t>
  </si>
  <si>
    <t>Detailed Inspection of left IDG delta P indicator. INTERVAL NOTE:Whichever occurs first [BBJ TASK 24-020-01-01]/[AMM12-13-21-200-802]</t>
  </si>
  <si>
    <t xml:space="preserve"> 24-020-01-01</t>
  </si>
  <si>
    <t>12-13-21-200-802</t>
  </si>
  <si>
    <t>Detailed Inspection of right IDG delta P indicator. INTERVAL NOTE:Whicheve roccurs first. [BBJ TASK 24-020-02-01]/[AMM12-13-21-200-802]</t>
  </si>
  <si>
    <t xml:space="preserve"> 24-020-02-01</t>
  </si>
  <si>
    <t>Detailed Inspection of left IDG oil level. INTERVAL NOTE: Whichever occurs first. [BBJ TASK24-030-01-01]/[AMM 12-13-21-200-801]</t>
  </si>
  <si>
    <t>24-030-01-01</t>
  </si>
  <si>
    <t>12-13-21-200-801]</t>
  </si>
  <si>
    <t>Detailed Inspection of right  IDG oil level. INTERVAL NOTE: Whichever occurs first.[BBJ TASK24-030-02-01]/[AMM 12-13-21-200-801]</t>
  </si>
  <si>
    <t>Operationally check portable water-type fire extinguisher by weighing the bottle assembly. AIRPLANE NOTE: If installed. [BBJ TASK 26-472-00-01]/[AMM 26-26-02-200-804]</t>
  </si>
  <si>
    <t>26-472-00-01</t>
  </si>
  <si>
    <t>26-26-02-200-804</t>
  </si>
  <si>
    <t>Operationally check portable water-type fire extinguisher by weighing the CO2 cartridge. AIRPLANE NOTE: If installed. [BBJ TASK 26-473-00-01]/[AMM26-473-00-01]</t>
  </si>
  <si>
    <t>26-473-00-01</t>
  </si>
  <si>
    <t>Operationally check the leading edge devices uncommanded motion protection using the standby hydraulic system.
INTERVALNOTE:Whichever comes first[BBJ TASK 27-224-00-01]/[AMM 27-81-00-710-802]</t>
  </si>
  <si>
    <t>27-224-00-01</t>
  </si>
  <si>
    <t>27-81-00-710-802</t>
  </si>
  <si>
    <t>BBJ 18 MO Inspection</t>
  </si>
  <si>
    <t>[BBJ TASK 26-451-00-01]/[AMM26-26-01-200-802]. 18MO Visually check the portable Halon fire extinguisher pressure gauge for proper charge. AIRPLANE NOTE: If installed.</t>
  </si>
  <si>
    <t>26-451-00-01</t>
  </si>
  <si>
    <t>26-26-01-200-802</t>
  </si>
  <si>
    <t>[BBJ TASK 28-100-00-01]/[AMM 28-22-00-210-801] 1.1 NOTE ALL Perform a detail visual inspection of the following items on all the fuel pumps for signs of fuel leaks,heat discoloration, or damage: Wire terminal assembly, electrical connector, and wire insulation. If any discrepancy is detected, prior to furthe flight, replace the fuel pump with a new or serviceable fuel pump and perform an insulation resistance test per 28-CMR-02. SPECIALNOTE: This task accomplishes certification maintenance requirement 28-CMR-01.See CMR Document D626A001-9-03. AIRPLANE NOTE: This CMR is only applicable to the following fuel pumps if the fuel pumps are installed with out fuel pump ground fault interrupter(GFI): Boost Pumps 60B92404-6, 60B92404-7 and Override Pumps60B89004-10, 60B89004-12. INTERVALNOTE: 5000FH or 18months (whichever comes first) or 500F Has determined by CMR 28-CMR-02, (the interval for this task is always the same as th einterval for CMR28-CMR-02)</t>
  </si>
  <si>
    <t>28-100-00-01</t>
  </si>
  <si>
    <t>26-26-05-200-804</t>
  </si>
  <si>
    <t>[BBJ TASK 28-110-00-01]/[AMM 28-22-00-200-801] 1.1 NOTE ALL Perform an insulation resistance test on all of the fuel pumps. If any resistance measurement is less than o requal to 1mega ohm, prior to further flight, replace the fuel pump with a new or serviceable fuel pump and repeat the insulation resistance test. SPECIAL NOTE: This task accomplishes certification maintenance requirement 28-CMR-02. See CMR Document D626A001-9-03. AIRPLANE NOTE: This CMR is only applicable to the following fuel pumps if the fuel pumps are installed without fuel pump ground fault interrupter(GFI): Boost Pumps 60B92404-6, 60B92404-7 and Override Pumps 60B89004-10, 60B89004-12. INTERVAL NOTE: Initial inspection interval is 5000FH or18months(whichever comes first) then, if all resistance measurements are greater than or equal to5mega ohms, repeat this test at 5,000FH or 18 months (whichevercomesfirst). If all resistance measurements are greater than 1mega ohm, but one or more are less than 5mega ohms: Repeat the visual inspection per 28-CMR-01(28 100-00) and the insulation test within 500FH for the affected fuel pumps, or replace the fuel pump with a new or serviceable fuel pump and repeat the insulation resistance test.</t>
  </si>
  <si>
    <t>28-110-00-01</t>
  </si>
  <si>
    <t>28-22-00-200-801</t>
  </si>
  <si>
    <t>BBJ 3YR Inspection</t>
  </si>
  <si>
    <t>[BBJ TASK 26-050-00-01]/[AMM 26-20-00-210-801 &amp; 26-20-00-210-802] 1.1 3YR ALL Visually check engine fire bottle pressure gauge for correct pressure. (and APU fire bottle pressure gauge if installed)</t>
  </si>
  <si>
    <t>26-050-00-01</t>
  </si>
  <si>
    <t>26-20-00-210-801 &amp; 26-20-00-210-802</t>
  </si>
  <si>
    <t>BBJ 4YR Inspection</t>
  </si>
  <si>
    <t>[BBJ TASK 20-110-01-01]/[AMM 05-55-10-200-801]. 1.1 4YR ALL General visual inspection of external (cowl open) harness condition and security of left engine.</t>
  </si>
  <si>
    <t>20-110-01-01</t>
  </si>
  <si>
    <t>05-55-10-200-801</t>
  </si>
  <si>
    <t>[BBJ TASK 20-110-02-01]/[AMM 05-55-10-200-801]. 1.1 4YR ALL General visual inspection of external (cowl open) harness condition and security of ight engine.</t>
  </si>
  <si>
    <t>20-110-02-01</t>
  </si>
  <si>
    <t>[BBJ TASK 21-050-00-01]/[AMM 21-27-00-700-807]. 1.1 4YR Operationally check the equipment cooling overboard exhaust valve, supply fans, exhaust fans(if applicable), and recirculation fan(s) in smoke clearance mode. AIRPLANE NOTE: Exhaust fan operational check is applicable to 737-600/-700/-800 airplanes Line Number 1701 and on,and L/N 1-1700 that have incorporated SB737-26-1122.</t>
  </si>
  <si>
    <t>21-050-00-01</t>
  </si>
  <si>
    <t>21-27-00-700-807</t>
  </si>
  <si>
    <t>[BBJ TASK 21-180-00-01]/[AMM 21-75-00-700-801]. 1.1 4YRALL Operationally check the Air Cleaner Purge Valve. AIRPLANE NOTE: If Installed incompliance with SB737-21-1154</t>
  </si>
  <si>
    <t>21-180-00-01</t>
  </si>
  <si>
    <t>21-75-00-700-801</t>
  </si>
  <si>
    <t>[BBJ TASK 23-056-00-01]/[AMM 23-71-22-760-801] 1.1 1.2 4YR 4000FH ALL Functional Check the Recorder Independent Power Supply(RIPS) maintenance port. AIRPLANE NOTE: Applicable to RIPSP/N100-3020-400(RIPSwith Lithium Ion battery). INTERVALNOTE:Whichever comes first.</t>
  </si>
  <si>
    <t>23-056-00-01</t>
  </si>
  <si>
    <t>23-71-22-760-801</t>
  </si>
  <si>
    <t>[BBJ TASK 24-010-01-01]/[AMM 12-13-21-600-802]. 1.1 1.2 4YR 1800FH ALL ALL Change left IDG oil.</t>
  </si>
  <si>
    <t>24-010-01-01</t>
  </si>
  <si>
    <t>12-13-21-600-802</t>
  </si>
  <si>
    <t>[BBJ TASK 24-010-02-01]/[AMM 12-13-21-600-802]. 1.1 1.2 4YR 1800FH ALL Change right IDG oil.</t>
  </si>
  <si>
    <t>24-010-02-01</t>
  </si>
  <si>
    <t>[BBJ TASK 24-040-01-01]/[AMM 24-11-41-000-801, 24-11-41-200-801 &amp; 24-11-41-400-801] 1.1 1.2 4YR 1800FH ALL Replace left IDG charge and scavenge filters.</t>
  </si>
  <si>
    <t xml:space="preserve"> 24-040-01-01</t>
  </si>
  <si>
    <t>24-11-41-000-801, 24-11-41-200-801 &amp; 24-11-41-400-801</t>
  </si>
  <si>
    <t>[BBJ TASK 24-040-02-01]/[AMM 24-11-41-000-801, 24-11-41-200-801 &amp; 24-11-41-400-801 1.1 1.2 4YR 1800FH ALL Replace right IDG charge and scavenge filters.</t>
  </si>
  <si>
    <t>24-040-02-01</t>
  </si>
  <si>
    <t>[BBJ TASK 25-170-00-01]/[AMM 25-52-00-210-801] 1.1 4YR ALL Inspect(GeneralVisual) the fwd cargo door restraint system for condition and security.</t>
  </si>
  <si>
    <t xml:space="preserve"> 25-170-00-01</t>
  </si>
  <si>
    <t>25-52-00-210-801</t>
  </si>
  <si>
    <t>[BBJ TASK 25-170-00-02]/[AMM 25-52-00-210-801]. 1.1 4YR ALL Inspect(General Visual) the aft cargo door restraint system for condition and security.</t>
  </si>
  <si>
    <t>25-170-00-02</t>
  </si>
  <si>
    <t>[BBJ TASK 25-230-00-01/02/03/04]/[AMM 25-66-01-200-802] 1.1 4YR ALL Inspect(Detailed) the entry and service door emergency escape systems, including the emergency escape slide compartments and the escape slide components for condition and security. Note: Removal of the escape slide is not required. AIRPLANE NOTE: Applicable to all active doors with escape slides.</t>
  </si>
  <si>
    <t>25-230-00-01/02/03/04</t>
  </si>
  <si>
    <t xml:space="preserve"> 25-66-01-200-802</t>
  </si>
  <si>
    <t>[BBJ TASK 26-010-00-01]/[AMM 26-14-00-730-801]. 1.1 4YR ALL Operational check of the lavatory smoke detectors. AIRPLANE NOTE: If Installed.</t>
  </si>
  <si>
    <t>26-010-00-01</t>
  </si>
  <si>
    <t>26-14-00-730-801</t>
  </si>
  <si>
    <t>[BBJ TASK 26-010-00-02]/[AMM 26-14-00-730-802]. 1.1 4YR ALL Operational check of the lavatory smoke detectors. AIRPLANE NOTE: If Installed.</t>
  </si>
  <si>
    <t>26-010-00-02</t>
  </si>
  <si>
    <t>26-14-00-730-802</t>
  </si>
  <si>
    <t>[BBJ TASK 26-020-00-01]/[AMM 26-14-01-100-801]. 1.1 4YR ALL Restore(Clean) lavatory smoke detector grill (ionization type detectors). AIRPLANENOTE: Applies to Jamco(ionization type) lavatory smoke detectors only.</t>
  </si>
  <si>
    <t>26-020-00-01</t>
  </si>
  <si>
    <t>26-14-01-100-801</t>
  </si>
  <si>
    <t>[BBJ TASK 26-300-00-01]/[AMM 26-300-00-01]. 1.1 4YR ALL Detail visual inspection of the lavatory fire bottle fusible tip sand discharge tubes. AIRPLANE NOTE: If Installed.</t>
  </si>
  <si>
    <t>26-300-00-01</t>
  </si>
  <si>
    <t>[BBJ TASK 26-452-00-01]/[AMM 26-26-01-200-803]. 1.1 4YR ALL Visually check the portable Halon fire extinguisher seal for integrity. AIRPLANE NOTE: If installed.</t>
  </si>
  <si>
    <t>26-452-00-0</t>
  </si>
  <si>
    <t>26-26-01-200-803</t>
  </si>
  <si>
    <t>[BBJ TASK 26-471-00-01]/[AMM 26-26-02-200-803]. 1.1 4YR 600/700/700C 700IGW/800 /900/900ER ALL Visually check portable water-type fire extinguisher wire seal for integrity. AIRPLANE NOTE: If installed.</t>
  </si>
  <si>
    <t>26-471-00-01</t>
  </si>
  <si>
    <t>26-26-02-200-803</t>
  </si>
  <si>
    <t>[BBJ TASK 26-521-00-01]/[AMM 26-26-05-200-803]. 1.1 4YR ALL Visually check the portable Halotron BrX fire extinguisher seal for integrity. AIRPLANE NOTE: If installed.</t>
  </si>
  <si>
    <t>26-521-00-01</t>
  </si>
  <si>
    <t>26-26-05-200-803</t>
  </si>
  <si>
    <t>[BBJ TASK 27-107-00-01]/ [AMM 12-22-41-610-802]. 1.1 4YR ALL Service the HORIZONTAL TRIM ACTUATOR BRAKE. AIRPLANE NOTE: Applicable to airplanes line number 350 and on. Applicable to airplanes line number 1 to 349 that have incorporated SB 737-27-1210</t>
  </si>
  <si>
    <t>27-107-00-01</t>
  </si>
  <si>
    <t>12-22-41-610-802</t>
  </si>
  <si>
    <t>[BBJ TASK 27-114-00-01]/[AMM 27-41-00-710-801]. 1.1 4YR ALL Operationally check the stabilizer trim control column switching module.</t>
  </si>
  <si>
    <t>27-114-00-01</t>
  </si>
  <si>
    <t>27-41-00-710-801</t>
  </si>
  <si>
    <t>[BBJ TASK 27-154-00-01]/[AMM 27-51-00-740-803] 1.1 4YR ALL Operationally check the flap load relief system.</t>
  </si>
  <si>
    <t>27-154-00-01</t>
  </si>
  <si>
    <t>27-51-00-740-803</t>
  </si>
  <si>
    <t>[BBJ TASK 27-218-00-01]/[AMM 27-81-00-700-804]. 1.1 4YR ALL Operationally check the leading edge uncommanded motion protection system.</t>
  </si>
  <si>
    <t>27-218-00-01</t>
  </si>
  <si>
    <t>27-81-00-700-804</t>
  </si>
  <si>
    <t>[BBJ TASK 27-226-00-01] / [AMM 20-20-31-200-801, 20-20-31-200-802 &amp; 20-20-31-200-805] 1.1 4YR ALL Perform a detail visual inspection of the control cables with in the left main landing gear wheel well for broken wires. Check associated pulleys, brackets, and mechanisms for condition and security of installation.The following cables are located in the left MLG wheel well: A.Aileron control cables B.Spoiler control cables C.Speedbrake control cables Note: The control cables must be displaced full travel in each direction for complete inspection at seals, pulleys, and fairlead areas.</t>
  </si>
  <si>
    <t>27-226-00-01</t>
  </si>
  <si>
    <t>20-20-31-200-801, 20-20-31-200-802 &amp; 20-20-31-200-805</t>
  </si>
  <si>
    <t>[BBJ TASK 27-226-00-02] / [AMM 20-20-31-200-801, 20-20-31-200-802 &amp; 20-20-31-200-805] 1.1 4YR ALL Perform a detail visual inspection of the control cables within the right main landing gear wheel well for broken wires. Check associated pulleys, brackets, and mechanisms for condition and security of installation.The following cables are located within the right MLG wheelwell: A.Aileron Cables B.Flap control cables C.Spoiler control cables D.Speedbrake control cables Note:The control cables must be displaced full travel in each direction for complete inspection at seals, pulleys,and fairlead areas.</t>
  </si>
  <si>
    <t xml:space="preserve"> 27-226-00-02</t>
  </si>
  <si>
    <t xml:space="preserve"> 20-20-31-200-801, 20-20-31-200-802 &amp; 20-20-31-200-805</t>
  </si>
  <si>
    <t>[BBJ TASK 27-226-00-03] / [AMM 20-20-31-200-801, 20-20-31-200-802 &amp; 20-20-31-200-805]. 1.1 4YR ALL Perform a detail visual inspection of the control cables within the left wing aft spar area for broken wires. Check associated pulleys, brackets, and mechanisms for condition and security of installation.The following cables are located within the left wing aft spar area: A.Aileron control cables B.Wing spoiler control cables Note:The control cables must be displaced full travel in each direction for complete inspection at seals, pulleys, and fairlead areas. ACCESS NOTE: Extend Flaps</t>
  </si>
  <si>
    <t>27-226-00-03</t>
  </si>
  <si>
    <t>[BBJ TASK 27-226-00-04] / [AMM 20-20-31-200-801, 20-20-31-200-802 &amp; 20-20-31-200-805]. 1.1 4YR ALL Perform a detail visual inspection of the control cables within the right wing aft spar area for broken wires. Check associated pulleys, brackets, and mechanisms for condition and security of installation.The following cables are located within the right wing aft spar area: A.Aileron control cables B.Wing spoiler control cables Note:The control cables must be displaced full travel in each direction for complete inspection at seals, pulleys, and fairlead areas. ACCESS NOTE: Extend Flaps</t>
  </si>
  <si>
    <t>27-226-00-04</t>
  </si>
  <si>
    <t>[BBJ TASK 29-100-00-01] /[AMM 29-11-81-710-802] 1.1 4YR ALL Operational check of the A&amp;B system engine pump(EDP)shutoff valves.</t>
  </si>
  <si>
    <t>[BBJ TASK 31-020-00-01] / [AMM 21-33-00-000-801] 4YR ALL Functional check of the cabin pressure switch.</t>
  </si>
  <si>
    <t>31-020-00-01</t>
  </si>
  <si>
    <t>21-33-00-000-801</t>
  </si>
  <si>
    <t>[BBJ TASK 31-040-00-01] / [AMM 31-51-00-730-802]. 4YR ALL Operational check of landing gear logic module output to the AWM System 1 and 2.</t>
  </si>
  <si>
    <t>31-040-00-01</t>
  </si>
  <si>
    <t>31-51-00-730-802</t>
  </si>
  <si>
    <t>[BBJ TASK 31-050-00-01] / [AMM 31-51-00-730-803]. 1.1 4YR ALL Functional check of the take off warning system. This task tests: Trailing edge and leading edge flap, thrust lever,upper and lower stabilizer trim limit, ground spoiler pressure ,speedbrake, parkbrake and ground spoiler bypass valve switches for the aural warning module(AWM).</t>
  </si>
  <si>
    <t>31-050-00-01</t>
  </si>
  <si>
    <t>31-51-00-730-803</t>
  </si>
  <si>
    <t>[BBJ TASK 32-240-00-01] /[AMM 32-31-71-400-802] 1.1 4YR ALL Operationally check the landing gear transfer valve.</t>
  </si>
  <si>
    <t>32-240-00-01</t>
  </si>
  <si>
    <t>32-31-71-400-802</t>
  </si>
  <si>
    <t>[BBJ TASK 32-440-00-01] / [AMM 20-20-31-200-806]. 1.1 4YR ALL Perform a detail visual inspection of the control cables in the NLG wheel well for broken wires.Check associated pulleys and brackets for condition and security of installation.The following cables are located in the nose landing gea wheelwell: A.NLG manual extension cables B.NLG steering cables ACCESS NOTE: NLG covers P/N273A4520-1 or 273A4520-2 need to be removed to perform this task.</t>
  </si>
  <si>
    <t>20-20-31-200-806</t>
  </si>
  <si>
    <t>[BBJ TASK 32-440-00-02] / [AMM 20-20-31-200-801 &amp; 20-20-31-200-802] 1.1 4YR ALL Perform a detail visual inspection of the MLG manual extension cables in the left main landing gear wheelwell for broken wires. Check associated brackets and mechanisms for condition and security of installation. Note: MLG manual extension cables do not require displacement for complete inspection.</t>
  </si>
  <si>
    <t>32-440-00-02</t>
  </si>
  <si>
    <t>20-20-31-200-801 &amp; 20-20-31-200-802</t>
  </si>
  <si>
    <t>[BBJ TASK32-440-00-03] / [AMM 20-20-31-200-801 &amp; 20-20-31-200-802] 1.1 4YR 4YR ALL ALL Perform a detail visual inspection of the MLG manual extension cables with in the right main landing gear wheelwell for broken wires. Check associated brackets and mechanisms for condition and security of installation. Note: MLG manual extension cables do not required is placement for complete inspection.</t>
  </si>
  <si>
    <t>32-440-00-03</t>
  </si>
  <si>
    <t xml:space="preserve"> 20-20-31-200-801 &amp; 20-20-31-200-802</t>
  </si>
  <si>
    <t>[BBJ TASK 33-065-00-01] / [AMM 33-51-02-720-801]. 1.1 4YR ALL Functionally check these lf illuminating exit signs(discard when illumination is below required minimum). AIRPLANE NOTE: If installed.</t>
  </si>
  <si>
    <t>33-065-00-01</t>
  </si>
  <si>
    <t>33-51-02-720-801</t>
  </si>
  <si>
    <t>[BBJ TASK 35-100-00-01] /[AMM 35-31-00-710-801]. 1.1 4YR ALL Inspect (General Visual) all the portable oxygen cylinders for presence, condition, and security. AIRPLANE NOTE: If Installed.</t>
  </si>
  <si>
    <t>35-100-00-01</t>
  </si>
  <si>
    <t>35-31-00-710-801</t>
  </si>
  <si>
    <t>[BBJ TASK 38-030-00-01] / [AMM 38-32-05-960-801]. 1.1 1.2 4YR 2500FH ALL Restore(clean) or replace the vacuum blower filter(if installed). AIRPLANE NOTE: Applicable to airplanes with vacuum blower equipped with a filter.</t>
  </si>
  <si>
    <t>38-030-00-01</t>
  </si>
  <si>
    <t>38-32-05-960-801</t>
  </si>
  <si>
    <t>[BBJ TASK 38-090-00-01] / [AMM 38-32-02-000-801, 38-32-02-100-801 &amp; 38-32-02-400-801] 1.1 1.2 4YR 2500FH ALL Restore(clean or replace) the waste tank water separator filter baskets. AIRPLANE NOTE: Applicable to filter basket part numbers 01940-001 and 01956-000.</t>
  </si>
  <si>
    <t>38-090-00-01</t>
  </si>
  <si>
    <t>38-32-02-000-801, 38-32-02-100-801 &amp; 38-32-02-400-801</t>
  </si>
  <si>
    <t>[BBJ TASK 38-100-00-01] / [AMM 38-32-02-000-801, 38-32-02-100-801 &amp; 38-32-02-400-801] 1.1 1.2 4YR 3000FH ALL Restore(clean or replace) the waste tank water separator filter baskets. AIRPLANE NOTE: Applicable to all filter basket part number sexcept 01940-001 and 01956-000.</t>
  </si>
  <si>
    <t xml:space="preserve"> 38-100-00-01</t>
  </si>
  <si>
    <t>[BBJ TASK 49-102-00-01] / [AMM 49-31-21-000-801, 49-31-21-400-801] 1.1 1.2 1.3 4YR 3500AH NOTE ALL Discard the fuel inlet filter element on the fuel control unit(FCU). INTERVAL NOTE:Whichever occurs first.</t>
  </si>
  <si>
    <t>49-102-00-01</t>
  </si>
  <si>
    <t>49-31-21-000-801, 49-31-21-400-801</t>
  </si>
  <si>
    <t>[BBJ TASK 52-040-00-02] / [AMM 52-13-00-200-803] 1.1 1.2 4YR NOTE ALL Inspect(Detailed) the aft entry door centering guide bearings for condition. AIRPLANE NOTE: For737-800BCF, only applicable to forward doors. INTERVAL NOTE: Some BBJ Service Doors have been de-activated (per interiorcompletionSTC) and can not be opened from the outside. For de-activated doors the interval is 8years.</t>
  </si>
  <si>
    <t xml:space="preserve"> 52-040-00-02</t>
  </si>
  <si>
    <t>52-13-00-200-803</t>
  </si>
  <si>
    <t>[BBJ TASK 52-040-00-03] / [AMM 52-41-00-200-804] 1.1 1.2 4YR NOTE ALL Inspect(Detailed) the aft service door centering guide bearing for condition. AIRPLANE NOTE: For 737-800BCF, only applicable to for ward doors. INTERVAL NOTE: Some BBJ Service Doors have been de-activated(per interiorcompletionSTC) and can not be opened from the outside. For de-activated doors the interval is 8years.</t>
  </si>
  <si>
    <t>52-040-00-03</t>
  </si>
  <si>
    <t xml:space="preserve"> 52-41-00-200-804</t>
  </si>
  <si>
    <t xml:space="preserve">[BBJ TASK 52-050-00-02] / [AMM 52-41-00-200-802] 1.1 1.2 4YR NOTE ALL Inspect(GeneralVisual) the forward service door pressure seal for degradation. INTERVAL NOTE: Some BBJ Service Doors have been de-activated (per interiorcompletion STC) and can not be opened from the out </t>
  </si>
  <si>
    <t xml:space="preserve"> 52-050-00-02</t>
  </si>
  <si>
    <t>52-41-00-200-802</t>
  </si>
  <si>
    <t>[BBJ TASK 52-050-00-03] / [AMM 52-13-00-200-802] 1.1 1.2 4YR NOTE ALL Inspect (GeneralVisual) the aft entry door pressure seal for degradation. INTERVAL NOTE: Some BBJ Service Doors have been de-activated (per interior completion STC) and can not be opened from the outside. For de-activated doors the interval is 8years.</t>
  </si>
  <si>
    <t>52-050-00-03</t>
  </si>
  <si>
    <t>52-13-00-200-80</t>
  </si>
  <si>
    <t>[BBJ TASK 52-050-00-04] / [AMM 52-41-00-200-802] 1.1 1.2 4YR NOTE ALL Inspect(GeneralVisual) the aft service door pressure seal for degradation. INTERVAL NOTE: Some BBJ Service Doors have been de-activated(per interior completion STC) and can not be opened from the outside. For de-activated doors the interval is 8years.</t>
  </si>
  <si>
    <t>52-050-00-04</t>
  </si>
  <si>
    <t>[BBJ TASK 52-165-00-01] / [AMM 52-61-00-710-803 1.1 4YR ALL Operationally check the airstair internal and external control panel Extend/Retract switches with the airplane in flight mode. AIRPLANE NOTE: Airplanes with airstair system installed.</t>
  </si>
  <si>
    <t xml:space="preserve"> 52-165-00-01</t>
  </si>
  <si>
    <t xml:space="preserve"> 52-61-00-710-803</t>
  </si>
  <si>
    <t>[BBJ TASK 53-010-00-02] / [AMM 53-010-00-02] 1.1 4YR ALL Inspect door cut out at EE Compartment door. SPECIAL NOTE: Accomplishing this structures inspection task card also satisfies the GVI inspection for following PSE's:PSE#53-10-21-1and#53-10-21-4. ACCESSNOTE: Open EE compartment door.</t>
  </si>
  <si>
    <t>53-010-00-02</t>
  </si>
  <si>
    <t>[BBJ TASK 53-010-00-03] / [AMM 51-05-01-210-801 &amp; 53-05-03-210-803] 1.1 4YR ALL Inspect door cutout at forward airstairs door. Note:This task card is for airplanes equipped with airstair doors only. SPECIAL NOTE: Accomplishing this structures inspection task card also satisfies the GVI inspection for following PSE's:PSE#53-10-21-1and#53-10-21-4. ACCESS NOTE: Open airstairs door.</t>
  </si>
  <si>
    <t xml:space="preserve"> 53-010-00-03</t>
  </si>
  <si>
    <t xml:space="preserve"> 51-05-01-210-801 &amp; 53-05-03-210-803</t>
  </si>
  <si>
    <t>[BBJ TASK 53-030-00-02] /[AMM 51-05-01-210-809 &amp; 53-05-03-211-802] 1.1 4YR 4YR ALL ALL Inspect the aft cargo door surround structure, fittings and stops.</t>
  </si>
  <si>
    <t>53-030-00-02</t>
  </si>
  <si>
    <t>51-05-01-210-809 &amp; 53-05-03-211-802</t>
  </si>
  <si>
    <t>[BBJ TASK 53-310-00-01] / [AMM 51-05-01-210-809 &amp; 53-05-03-211-805] 1.1 1.2 4YR NOTE ALL Inspect door frames, stops, latches and hinges on the forward door cut out surround structure. INTERVAL NOTE: Some BBJ Service Doors have been de-activated(per interiorcompletionSTC) and can not be opened from the outside. For de-activated doors the in terval is 8years. ACCESS NOTE: Open forward entry door.</t>
  </si>
  <si>
    <t>53-310-00-01</t>
  </si>
  <si>
    <t>51-05-01-210-809 &amp; 53-05-03-211-805</t>
  </si>
  <si>
    <t>[BBJ TASK 53-310-00-02] / [AMM 51-05-01-210-809 &amp; 53-05-03-211-806] 1.1 1.2 4YR NOTE ALL Inspect door frames, stops, latches and hinges on forward galley door cut out surround structure. INTERVAL NOTE: Some BBJ Service Doors have been de-activated(per interior completion STC) and can not be opened from the out side. For de-activated doors the interval is 8years. ACCESS NOTE: Open forward galley service door.</t>
  </si>
  <si>
    <t xml:space="preserve"> 53-310-00-02</t>
  </si>
  <si>
    <t xml:space="preserve"> 51-05-01-210-809 &amp; 53-05-03-211-806</t>
  </si>
  <si>
    <t>[BBJ TASK 53-310-00-03] / [AMM 51-05-01-210-809 &amp; 53-05-03-211-807] 1.1 1.2 4YR NOTE ALL Inspect door frames, stops, latches and hinges on aft entry cutout surround structure. INTERVAL NOTE: Some BBJ Service Doors have been de-activated(per interiorcompletionSTC) and can not be opened from the out side. For de-activated doors the interval is 8years. ACCESS NOTE: Open aft entry door.</t>
  </si>
  <si>
    <t>53-310-00-03</t>
  </si>
  <si>
    <t xml:space="preserve"> 51-05-01-210-809 &amp; 53-05-03-211-807</t>
  </si>
  <si>
    <t>[BBJ TASK53-310-00-04] / [AMM 51-05-01-210-809 &amp; 53-05-03-211-808] 1.1 1.2 4YR NOTE ALL Inspect door frames, stops, latches and hinges on aft galley door cutout surround structure. INTERVAL NOTE: Some BBJ Service Doors have been de-activated(per interior completion STC)and can not be opened from the out side.For de-activated doors the interval is 8years. ACCESS NOTE: Openaft galley door.</t>
  </si>
  <si>
    <t>53-310-00-04</t>
  </si>
  <si>
    <t>51-05-01-210-809 &amp; 53-05-03-211-808</t>
  </si>
  <si>
    <t>[BBJ TASK 53-810-00-01] / [AMM 05-41-01-210-806] 1.1 4YR 4YR ALL ALL Perform an internal zonal inspection(GV) of the electrical and electronics compartment access door.</t>
  </si>
  <si>
    <t xml:space="preserve"> 53-810-00-01</t>
  </si>
  <si>
    <t>05-41-01-210-806</t>
  </si>
  <si>
    <t>[BBJ TASK 53-848-00-01] / [AMM 05-41-01-210-826] 1.1 4YR ALL Perform an internal zonal inspection(GV)of the lower wing to body fairing-under the wing box.(EZAP) INTERVAL NOTE: The EZAP inspection requirement with interval 18000FC/6YR is satisfied by this zonal inspection. ACCESSNOTE: Through access provided.</t>
  </si>
  <si>
    <t xml:space="preserve"> 53-848-00-01</t>
  </si>
  <si>
    <t>05-41-01-210-826</t>
  </si>
  <si>
    <t>[BBJ TASK 53-860-00-01] / [AMM 05-41-02-210-802 1.1 4YR ALL Perform an internal zonal inspection(GV) of the flight control Control stand access panels 211A and 212A removal required.</t>
  </si>
  <si>
    <t>53-860-00-01</t>
  </si>
  <si>
    <t>05-41-02-210-802</t>
  </si>
  <si>
    <t>[BBJ TASK 53-872-00-01] / [AMM 05-41-02-210-808] 1.1 1.2 4YR NOTE ALL Perform an external zonal inspection(GV) of the forward galley service door stops, latches, and hinges-section41, sta 340. INTERVAL NOTE: Some BBJ Service Doors have been de-activated (per interior completion STC) and can not be opened from the outside. For de-activated doors the interval is 8years. ACCESS NOTE: Open for ward galley service door.</t>
  </si>
  <si>
    <t>53-872-00-01</t>
  </si>
  <si>
    <t>05-41-02-210-808</t>
  </si>
  <si>
    <t>[BBJ TASK 53-884-00-01] / [AMM 05-41-02-210-815] 1.1 4YR 4YR 600/700/700C/ 700IGW/800 900/900ER ALL Perform an internal zonal inspection(GV) of the aft passenger compartment-STA663.75 to the aft pressure bulkhead- left and right-section44(part), 46 and 47, STA663.75 to aft pressure bulkhead. NOTE:Not applicable to airplanes with flat aft pressure bulkhead.</t>
  </si>
  <si>
    <t>53-884-00-01</t>
  </si>
  <si>
    <t>05-41-02-210-815</t>
  </si>
  <si>
    <t>[BBJ TASK 53-895-00-01] /[AMM 05-41-03-210-851] 1.1 4YR ALL Perform an external zonal inspection(GV) of the area aft of the pressure bulkhead.</t>
  </si>
  <si>
    <t xml:space="preserve"> 53-895-00-01</t>
  </si>
  <si>
    <t>05-41-03-210-851</t>
  </si>
  <si>
    <t>[BBJ TASK 53-896-00-02] / [AMM 05-41-03-210-832] 1.1 4YR ALL Perform an internal zonal inspection(GV) of the area aft of pressure bulkhead-Section48, aft of aft pressure bulkhead to Sta1088.(EZAP) NOTE:Applicable to airplanes with flat aft pressure bulkhead. INTERVAL NOTE: The EZAP inspection requirement with interval 36000FC/12YR is satisfied by this zonal inspection.</t>
  </si>
  <si>
    <t>53-896-00-02</t>
  </si>
  <si>
    <t xml:space="preserve"> 05-41-03-210-832</t>
  </si>
  <si>
    <t>[BBJ TASK 53-897-00-01] / [AMM 05-41-03-210-852] 1.1 4YR ALL Perform an external zonal inspection(GV) of the Stabilizer Torsion Box Compartment.</t>
  </si>
  <si>
    <t>53-897-00-01</t>
  </si>
  <si>
    <t>05-41-03-210-852</t>
  </si>
  <si>
    <t>[BBJ TASK 53-899-00-01] / [AMM 05-41-03-210-85] 1.1 4YR ALL Perform an external zonal inspection(GV) of the APU Compartment.</t>
  </si>
  <si>
    <t>53-899-00-01</t>
  </si>
  <si>
    <t>05-41-03-210-85</t>
  </si>
  <si>
    <t>[BBJ TASK 53-900-00-01] / [AMM 05-41-03-210-804] 1.1 4YR ALL Perform an internal zonal inspection(GV) of the APU compartment-Section48, Sta1088 to Sta1156.(EZAP) INTERVAL NOTE: The EZAP inspection requirement with interval 5500FC/30MO is satisfied by this zonal inspection.</t>
  </si>
  <si>
    <t>53-900-00-01</t>
  </si>
  <si>
    <t>05-41-03-210-804</t>
  </si>
  <si>
    <t>[BBJ TASK 53-901-00-01] / [AMM 05-41-03-210-854] 1.1 4YR ALL Perform an external zonal inspection(GV) of the Tail Cone.</t>
  </si>
  <si>
    <t xml:space="preserve"> 53-901-00-01</t>
  </si>
  <si>
    <t>05-41-03-210-854</t>
  </si>
  <si>
    <t>[BBJ TASK 53-904-01-01] / [AMM 05-41-05-210-820] 1.1 4YR ALL Perform an internal zonal inspection(GV) of the flap support no.4- left wing-Section46, Sta727.(EZAP) INTERVAL NOTE: The EZAP inspection requirement with interval 5500FC/30MO issatisfied by this zonal inspection. ACCESS NOTE: Flaps extended.</t>
  </si>
  <si>
    <t>53-904-01-01</t>
  </si>
  <si>
    <t>05-41-05-210-820</t>
  </si>
  <si>
    <t>[BBJ TASK 53-906-02-01] / [AMM 05-41-06-210-820] 4YR ALL Perform an internal zonal inspection(GV) of the flap support no.5-right wing-Section46, Sta727.(EZAP) INTERVAL NOTE: The EZAP inspection requirement with interval 5500FC/30MO is satisfied by this zonal inspection. ACCESS NOTE: Flaps extended.</t>
  </si>
  <si>
    <t>53-906-02-01</t>
  </si>
  <si>
    <t>05-41-06-210-820</t>
  </si>
  <si>
    <t>[BBJ TASK 57-100-02-01] / [AMM 51-05-01-210-812 &amp; 57-05-03-210-812] 1.1 4YR ALL Inspect the following fittings: 1.Front spar pitch load fitting(R1); 2.Aft drag load fitting(R2); 3.Outboard side load fitting (R3); 4. Inboard side load fitting(R4); 5.Side brace support fittings(R7andR8); 6.R3 forward backup fitting. Inspect upper wing skin atattachment to nacelle fittingR1.</t>
  </si>
  <si>
    <t xml:space="preserve"> 57-100-02-01</t>
  </si>
  <si>
    <t>51-05-01-210-812 &amp; 57-05-03-210-812</t>
  </si>
  <si>
    <t>[BBJ TASK 57-110-01-01] / [AMM 51-05-01-210-809 &amp; 57-05-03-210-813] 1.1 4YR ALL Inspect left wing lower surface under strut fairing, including all attachment locations.</t>
  </si>
  <si>
    <t>57-110-01-01</t>
  </si>
  <si>
    <t>51-05-01-210-809 &amp; 57-05-03-210-813</t>
  </si>
  <si>
    <t>[BBJ TASK 57-110-02-01] / [AMM 51-05-01-210-809 &amp; 57-05-03-210-814]. 1.1 4YR ALL Inspect right wing lower surface under strut fairing, including all attachment locations.</t>
  </si>
  <si>
    <t>57-110-02-01</t>
  </si>
  <si>
    <t>51-05-01-210-809 &amp; 57-05-03-210-814</t>
  </si>
  <si>
    <t>[BBJ TASK 57-864-01-01] / [AMM 05-41-05-210-835] 1.1 4YR ALL Perform an external zonal inspection(GV) of the fixed trailing edge- left wing. SPECIAL NOTE: For 737-700,737-800, and 737-900 models only; there is an alternate method of inspection available using a small Unmanned Aerial System(sUAS) to accomplish GVI, reference AMM 20 10-94 for additional information and applicable restrictions or limitations.</t>
  </si>
  <si>
    <t>57-864-01-01</t>
  </si>
  <si>
    <t>05-41-05-210-835</t>
  </si>
  <si>
    <t>[BBJ TASK 57-882-02-01] / [AMM 05-41-06-210-808] 1.1 4YR ALL Perform an external zonal inspection(GV) of the leading edge to front spar-outboard of the nacelle strut-right wing. SPECIAL NOTE: For737-700,737-800, and737-900 models only; there is analternate method of inspection available using a small Unmanned Aerial System(sUAS) to accomplishGVI, reference AMM 20 10-94 for additional information and applicable restrictions or limitations. ACCESS NOTE: Slats deployed.</t>
  </si>
  <si>
    <t xml:space="preserve"> 57-882-02-01</t>
  </si>
  <si>
    <t xml:space="preserve"> 05-41-06-210-808</t>
  </si>
  <si>
    <t>[BBJ TASK 70-802-01-01] / [AMM 05-41-04-210-802] 1.1 4YR ALL Perform an external zonal inspection(GV) of the engine no.1.(EZAP) INTERVAL NOTE: The EZAP inspection requirement with interval 5500FC/30MO is satisfied by this zonal inspection.</t>
  </si>
  <si>
    <t>70-802-01-01</t>
  </si>
  <si>
    <t>05-41-04-210-802</t>
  </si>
  <si>
    <t>[BBJ TASK 70-806-01-01] / [AMM 05-41-04-210-804]  4YR ALL Perform an external zonal inspection(GV) of the thrust reverser-engine no.1. SPECIAL NOTE: CMR task(70-CMR-01) interval for this task is 4000FC. See CMR Document D626A001-9-03. ACCESS NOTE: Thrust reverser in stowed and deployed position.</t>
  </si>
  <si>
    <t xml:space="preserve"> 70-806-01-01</t>
  </si>
  <si>
    <t xml:space="preserve">05-41-04-210-804 </t>
  </si>
  <si>
    <t>[BBJ TASK 70-808-01-01] / [AMM 05-41-04-210-805 1.1 4YR ALL Perform an external zonal inspection(GV) of the thrust reverser-engine no.1.(EZAP) INTERVAL NOTE: The EZAP inspection requirement with interval 5500FC/30MO is satisfied by this zonal inspection. ACCESS NOTE: Inner and outer exterior surfaces.</t>
  </si>
  <si>
    <t>70-808-01-01</t>
  </si>
  <si>
    <t>05-41-04-210-805</t>
  </si>
  <si>
    <t>[BBJ TASK 70-812-02-01] / [AMM 05-41-04-210-807 1.1 4YR ALL Perform an external zonal inspection(GV) of the engineno.2.(EZAP) INTERVAL NOTE: The EZAP inspection requirement with interval 5500FC/30MO issatisfied by this zonal inspection.</t>
  </si>
  <si>
    <t>70-812-02-01</t>
  </si>
  <si>
    <t>05-41-04-210-807</t>
  </si>
  <si>
    <t>[BBJ TASK 70-816-02-01] / [AMM 05-41-04-210-809] 1.1 4YR ALL Perform an external zonal inspection(GV) of the thrust reverser-engineno.2 SPECIAL NOTE: CMRtask(70-CMR-01) interval for this task is 4000FC. See CMR Document D626A001-9-03. ACCESS NOTE: Thrustreverser in stowed and deployed position.</t>
  </si>
  <si>
    <t>70-816-02-01</t>
  </si>
  <si>
    <t>05-41-04-210-809</t>
  </si>
  <si>
    <t>[BBJ TASK 70-818-02-01] / [AMM 05-41-04-210-810] 1.1 4YR ALL Perform an external zonal inspection(GV)of the thrust reverser-engineno.2. (EZAP) INTERVAL NOTE: The EZAP inspection requirement with interval 5500FC/30MO is satisfied by this zonal inspection. ACCESS NOTE: Inner and outer exterior surfaces.</t>
  </si>
  <si>
    <t>70-818-02-01</t>
  </si>
  <si>
    <t>05-41-04-210-810</t>
  </si>
  <si>
    <t>[BBJ TASK 78-100-01-01] / [AMM 78-31-12-200-802-F00 1.1 4YR ALL Detailed inspection of the left engine T/R fire seal.</t>
  </si>
  <si>
    <t>78-100-01-01</t>
  </si>
  <si>
    <t>78-31-12-200-802-F00</t>
  </si>
  <si>
    <t>[BBJ TASK 78-100-02-01] / [AMM 78-31-12-200-802-F00] 1.1 4YR ALL Detailed inspection of the right engine T/R fire seal.</t>
  </si>
  <si>
    <t>78-100-02-01</t>
  </si>
  <si>
    <t>[BBJ TASK 78-140-01-01] / [AMM 78-31-03-700-801-F00] 1.1 1.2 1.3 4YR 5000FH NOTE ALL Operationally check the left engine thrust reverser (T/R) locking actuator. SPECIAL NOTE: CMR task (78-CMR-06) interval for this task is 5000FH. See CMR Document D626A001-9-03. INTERVAL NOTE: Whichever occurs first.</t>
  </si>
  <si>
    <t>78-140-01-01</t>
  </si>
  <si>
    <t>78-31-03-700-801</t>
  </si>
  <si>
    <t>[BBJ TASK 78-140-02-01] / [AMM 78-31-03-700-801-F00] 1.1 1.2 4YR 5000FH 4YR ALL Operationally check the right engine thrust reverser(T/R) locking actuator. SPECIAL NOTE: CMR task(78-CMR-06) interval for this task is 5000FH. See CMR Document D626A001-9-03. INTERVAL NOTE: Whichever occurs first.</t>
  </si>
  <si>
    <t>78-140-02-01</t>
  </si>
  <si>
    <t>78-31-03-700-801-F00</t>
  </si>
  <si>
    <t>BBJ 6YR Inspection</t>
  </si>
  <si>
    <t>[BBJ TASK 27-040-00-01] / [AMM 12-22-21-600-802] 1.1 6YR ALL Lubricate the rudder feel and centering unit spring slider.</t>
  </si>
  <si>
    <t>27-040-00-01</t>
  </si>
  <si>
    <t>12-22-21-600-802</t>
  </si>
  <si>
    <t>BBJ 8YR Inspection</t>
  </si>
  <si>
    <t>[BBJ TASK 20-060-00-01] / [AMM 05-55-43-200-801, 05-55-43-200-802, 05-55-43-200-803, 05-55-43-200-804, 05-55-43-200-805, 05-55-43-200-807 &amp; 05-55-43-200-808] 1.1 12YR 8YR ALL Functional check of HIRF/L sensitive connectors inside the pressurevessel by DC resistance check from back shell to ground. INTERVAL NOTE: Repeat Interval is 8YRS to coincide with Aux Tank Removal Interval.</t>
  </si>
  <si>
    <t xml:space="preserve"> 20-060-00-01</t>
  </si>
  <si>
    <t xml:space="preserve"> 05-55-43-200-801, 05-55-43-200-802, 05-55-43-200-803, 05-55-43-200-804, 05-55-43-200-805, 05-55-43-200-807 &amp; 05-55-43-200-808</t>
  </si>
  <si>
    <t>[BBJ TASK 20-070-00-01] / [AMM 05-55-15-200-805] 1.1 12YR 8YR ALL Perform a detail visual inspection of the HIRF/L sensitive pigtails inside the pressure vessel look for condition of security and signs of corrosion. INTERVAL NOTE: Repeat Interval is 8YRS to coincide with AuxTank Removal Interval.</t>
  </si>
  <si>
    <t>20-070-00-01</t>
  </si>
  <si>
    <t>05-55-15-200-805</t>
  </si>
  <si>
    <t>[BBJ TASK 20-140-00-01] /[AMM 05-55-42-200-802, 05-55-42-200-804, 05-55-46-200-801 &amp; 05-55-46-200-802] 1.1 8YR ALL Perform a functional check of the HIRF/L sensitive connectors inside the empennage. NOTE:Functional check using the Loop Resistance Test is the Boeing preferred method. An alternate Bond Resistance Test is provided in lieu of a Loop Resistance Test for operators choosing to utilize the approved Bond Resistance Test method.</t>
  </si>
  <si>
    <t>20-140-00-01</t>
  </si>
  <si>
    <t xml:space="preserve"> 05-55-42-200-802, 05-55-42-200-804, 05-55-46-200-801 &amp; 05-55-46-200-802</t>
  </si>
  <si>
    <t>[BBJ TASK 20-310-00-01] / [AMM 05-42-01-100-802 &amp; 20-60-02-100-801] 1.1 8YR 8YR ALL Restore(Clean) areas behind the equipment racks in the Electrical and Electronics Compartment, and inside the Airstair Compartment(if installed). (EZAP) ACCESS NOTE: Access panel 117BL is only for airplanes with airstairs installed. Alternate access behind E2, E3 and E4 electronics racks is through 121JW, 121KW, 121LW and 122HW panels.</t>
  </si>
  <si>
    <t>20-310-00-01</t>
  </si>
  <si>
    <t xml:space="preserve"> 05-42-01-100-802 &amp; 20-60-02-100-801</t>
  </si>
  <si>
    <t>[BBJ TASK 20-320-00-01] / [AMM 05-42-01-211-801 &amp; 20-60-03-100-801 1.1 8YR ALL Inspect(Detailed) the IDG, APU starter/generator, battery, and external power feede rwiring and connected EWIS.(EZAP) ACCESS NOTE: Access through panels 121JW, 121KW, 121LW and 122HW is from Forward Cargo Compartment.</t>
  </si>
  <si>
    <t>20-320-00-01</t>
  </si>
  <si>
    <t>05-42-01-211-801 &amp; 20-60-03-100-801</t>
  </si>
  <si>
    <t>[BBJ TASK 20-325-00-01] / [AMM 05-42-01-210-803 &amp; 20-60-04-100-801] 1.1 8YR ALL Inspect(GeneralVisual) all exposed EWIS in the Electrical and Electronics Compartment excluding the IDG, APU starter/generator, battery, and external power feede wiring and connected EWIS. (EZAP) ACCESS NOTE: Access through panels 121JW, 121KW, 121LW and 122HW is from Forward Cargo Compartment.</t>
  </si>
  <si>
    <t>20-325-00-01</t>
  </si>
  <si>
    <t>05-42-01-210-803 &amp; 20-60-04-100-801</t>
  </si>
  <si>
    <t>[BBJ TASK 20-335-00-01] / [AMM 05-42-01-210-802 &amp; 20-60-04-100-801 1.1 12YR 8YR ALL Inspect (GeneralVisual) all exposed EWIS in the Forward Cargo Compartment. (EZAP) ACCESS NOTE: Auxiliary tanks, ceiling, and side wall panels removal required.</t>
  </si>
  <si>
    <t>20-335-00-01</t>
  </si>
  <si>
    <t>05-42-01-210-802 &amp; 20-60-04-100-801</t>
  </si>
  <si>
    <t>[BBJ TASK 20-340-00-01] / [AMM 05-42-01-100-806 &amp; 20-60-02-100-801] 1.1 12YR 8YR ALL Restore(Clean) area below Forward Cargo Compartment. (EZAP) ACCESS NOTE: Auxiliary tanks and enter floor panels removal required.Cargo loading system removed/displaced asrequired.</t>
  </si>
  <si>
    <t xml:space="preserve"> 20-340-00-01</t>
  </si>
  <si>
    <t>05-42-01-100-806 &amp; 20-60-02-100-801</t>
  </si>
  <si>
    <t>[BBJ TASK 20-370-00-01] &amp; [AMM 05-42-01-100-804 &amp; 20-60-02-100-801] 1.1 12YR 8YR ALL Restore(Clean) areas behind ceiling and sidewall panels in the Aft Cargo Compartment.(EZAP) ACCESS NOTE: Auxiliary  tanks, ceiling and sidewall panels removal required.</t>
  </si>
  <si>
    <t>20-370-00-01</t>
  </si>
  <si>
    <t>05-42-01-100-804 &amp; 20-60-02-100-801</t>
  </si>
  <si>
    <t>[BBJ TASK 20-375-00-01] / [AMM 05-42-01-210-804 &amp; 20-60-04-100-801 1.1 12YR 8YR ALL Inspect(GeneralVisual) all exposed EWIS in the Aft Cargo Compartment. (EZAP) ACCESS NOTE: Auxiliary tanks, ceiling and sidewall panels removal required.</t>
  </si>
  <si>
    <t>20-375-00-01</t>
  </si>
  <si>
    <t>05-42-01-210-804 &amp; 20-60-04-100-801</t>
  </si>
  <si>
    <t>[BBJ TASK 20-380-00-01] / [AMM 05-42-01-100-809 &amp; 20-60-02-100-801] 1.1 12YR 8YR ALL Restore(Clean) area below Aft Cargo Compartment. (EZAP) ACCESS NOTE: Auxiliary tanks and center floor panels removal required. Cargo loading system(if installed) removed/displaced as required.</t>
  </si>
  <si>
    <t>20-380-00-01</t>
  </si>
  <si>
    <t>05-42-01-100-809 &amp; 20-60-02-100-801</t>
  </si>
  <si>
    <t>[BBJ TASK 20-390-00-01] / [AMM 05-42-01-100-808 &amp; 20-60-02-100-801] 1.1 8YR ALL Restore (Clean) area in Aft Cargo Compartment. (EZAP) ACCESS NOTE: Removal of aft cargo panels at Sta.947 bulkhead required.</t>
  </si>
  <si>
    <t>20-390-00-01</t>
  </si>
  <si>
    <t>05-42-01-100-808 &amp; 20-60-02-100-801</t>
  </si>
  <si>
    <t>[BBJ TASK 20-400-00-01] / [AMM 05-42-02-100-806 &amp; 20-60-02-100-801] 1.1 8YR ALL Restore(Clean) area in Flight Compartment from Sta.186 to 211, WL208 to232. (EZAP) ACCESS NOTE:Accessible areas forward and above the rudder pedals. Removal of Rudder Pedal Heel rest required.</t>
  </si>
  <si>
    <t>20-400-00-01</t>
  </si>
  <si>
    <t>05-42-02-100-806 &amp; 20-60-02-100-801</t>
  </si>
  <si>
    <t>[BBJ TASK 20-465-00-01] /[AMM 05-42-03-210-801 &amp; 20-60-04-100-801] 1.1 8YR ALL Inspect(GeneralVisual) all exposed EWIS in the Tail Cone.(EZAP)</t>
  </si>
  <si>
    <t xml:space="preserve"> 20-465-00-01</t>
  </si>
  <si>
    <t xml:space="preserve"> 05-42-03-210-801 &amp; 20-60-04-100-801</t>
  </si>
  <si>
    <t>[BBJ TASK 20-490-00-01] / [AMM 05-42-04-211-803 &amp; 20-60-03-100-801 1.1 8YR ALL Inspect(Detailed) all exposed EWIS in the Forward Strut Fairing-Engine No.1.(EZAP)</t>
  </si>
  <si>
    <t>20-490-00-01</t>
  </si>
  <si>
    <t>05-42-04-211-803 &amp; 20-60-03-100-801</t>
  </si>
  <si>
    <t>[BBJ TASK 20-500-00-01] / [AMM 05-42-04-211-804 &amp; 20-60-03-100-801] 1.1 8YR ALL Inspect(Detailed) all exposed EWIS in Fan Cowl Support Beam-Engine No.1.(EZAP)</t>
  </si>
  <si>
    <t>20-500-00-01</t>
  </si>
  <si>
    <t>05-42-04-211-804 &amp; 20-60-03-100-801</t>
  </si>
  <si>
    <t>[BBJ TASK 20-510-00-01] / [AMM 05-42-04-211-805 &amp; 20-60-03-100-801] 1.1 8YR ALL Inspect(Detailed) all exposed EWIS in Strut Torque Box-Engine No.1.(EZAP)</t>
  </si>
  <si>
    <t>20-510-00-01</t>
  </si>
  <si>
    <t>05-42-04-211-805 &amp; 20-60-03-100-801</t>
  </si>
  <si>
    <t>[BBJ TASK 20-520-00-01] / [AMM 05-42-04-211-806 &amp; 20-60-03-100-801] 1.1 8YR ALL Inspect(Detailed) all exposed EWIS in the Forward Strut Fairing-Engine No.2.(EZAP)</t>
  </si>
  <si>
    <t>20-520-00-01</t>
  </si>
  <si>
    <t>05-42-04-211-806 &amp; 20-60-03-100-801</t>
  </si>
  <si>
    <t>[BBJ TASK 20-530-00-01] / [AMM 05-42-04-211-807 &amp; 20-60-03-100-801] 1.1 8YR ALL Inspect(Detailed) all exposed EWIS in Fan Cowl Support Beam-Engine No.2.(EZAP)</t>
  </si>
  <si>
    <t>20-530-00-01</t>
  </si>
  <si>
    <t>05-42-04-211-807 &amp; 20-60-03-100-801</t>
  </si>
  <si>
    <t>[BBJ TASK 20-540-00-01]/ [AMM 05-42-04-211-808 &amp; 20-60-03-100-801] 1.1 8YR ALL Inspect(Detailed) all exposed EWIS in Strut Torque Box-Engine No.2.(EZAP)</t>
  </si>
  <si>
    <t>20-540-00-01</t>
  </si>
  <si>
    <t>05-42-04-211-808 &amp; 20-60-03-100-801</t>
  </si>
  <si>
    <t>[BBJ TASK 20-570-00-01 ] / [AMM 05-42-05-211-803 &amp; 20-60-03-100-801] 1.1 8YR ALL inspect(Detailed) all exposed EWIS in the area from Rear Spar to Main Landing Gear Support Beam-Left Wing.(EZAP)</t>
  </si>
  <si>
    <t>20-570-00-01</t>
  </si>
  <si>
    <t>05-42-05-211-803 &amp; 20-60-03-100-801</t>
  </si>
  <si>
    <t>[BBJ TASK 20-580-00-01] /[AMM 05-42-05-211-804 &amp; 20-60-03-100-801] 1.1 8YR ALL Inspect(Detailed) all exposed EWIS in the area from Rear Spar to Trailing Edge-Left Wing.(EZAP) ACCESSNOTE: Flaps extended,spoilers raised.</t>
  </si>
  <si>
    <t>20-580-00-01</t>
  </si>
  <si>
    <t>05-42-05-211-804 &amp; 20-60-03-100-801</t>
  </si>
  <si>
    <t>[BBJ TASK 20-610-00-01] /[AMM 05-42-06-211-803 &amp; 20-60-03-100-801] 1.1 8YR ALL Inspect(Detailed) all exposed EWIS in the area from Rear Spar to Main Landing Gear Support Beam-Right Wing.(EZAP)</t>
  </si>
  <si>
    <t>20-610-00-01</t>
  </si>
  <si>
    <t>05-42-06-211-803 &amp; 20-60-03-100-801</t>
  </si>
  <si>
    <t>[BBJ TASK 20-620-00-01]/[AMM 05-42-06-211-804 &amp; 20-60-03-100-801] 1.1 8YR ALL Inspect(Detailed) all exposed EWIS in the area  from Rear  Spar toTrailing Edge-Right Wing.(EZAP) ACCESSNOTE: Flaps extended,spoilers raised.</t>
  </si>
  <si>
    <t>20-620-00-01</t>
  </si>
  <si>
    <t>05-42-06-211-804 &amp; 20-60-03-100-801</t>
  </si>
  <si>
    <t>[BBJ TASK 21-015-00-01] /[AMM 21-25-03-200-801] 1.1 1.2 12YR 6000FH 8YR 6000FH 600/700/700C/ 700IGW/800/ 900/900ER ALL Perform a detailed inspection of the Recirculation Fan Check Valve(s) for condition, security, and proper operation. INTERVALNOTE:Which ever comes first.</t>
  </si>
  <si>
    <t xml:space="preserve"> 21-015-00-01</t>
  </si>
  <si>
    <t>21-25-03-200-801</t>
  </si>
  <si>
    <t>[BBJ TASK 21-060-00-01] / [AMM 21-31-00-710-801] 1.1 8YR 8YR 600700700C 700IGW800 900900ER ALL Operationally check the outflow valve manual mode(motor),selector panel, indicator, indicator feedback module.</t>
  </si>
  <si>
    <t>21-060-00-01</t>
  </si>
  <si>
    <t>21-31-00-710-801</t>
  </si>
  <si>
    <t>[BBJ TASK 21-190-00-01] / [AMM 36-13-01-020-803 &amp; 36-13-01-420-803] 1.1 12YR &amp; 8YR  ALL Discard APU bleed air duct flexible pressure seal. AIRPLANENOTE: Applicable to airplanes equipped with part number BOE2003-0052 seal. INTERVAL NOTE: Repeat Interval is 8YRS to coincide with AuxTank Removal Interval.</t>
  </si>
  <si>
    <t>21-190-00-01</t>
  </si>
  <si>
    <t>36-13-01-020-803 &amp; 36-13-01-420-803</t>
  </si>
  <si>
    <t>[BBJ TASK 23-080-00-01] / [AMM 23-51-00-710-803] 1.1 8YR ALL Operational check of oxygen mask microphone.</t>
  </si>
  <si>
    <t>23-080-00-01</t>
  </si>
  <si>
    <t>23-51-00-710-803</t>
  </si>
  <si>
    <t>[BBJ TASK 26-340-00-02] / [AMM 26-23-00-720-802-001 &amp; 26-23-00-730-806-001] 1.1  12YR 12000FH 8YR 12000FH  ALL Functional Check cargo fire extinguishing distribution system (flow and pressure check). INTERVAL NOTE:Which ever comes first.Schedule with AuxTank Removal Interval. ACCESSNOTE: Removal of airconditioning ducting and fwd auxtank may be required.</t>
  </si>
  <si>
    <t>26-340-00-02</t>
  </si>
  <si>
    <t>26-23-00-720-802-001 &amp; 26-23-00-730-806-001</t>
  </si>
  <si>
    <t>[BBJ TASK 26-340-00-03] / [AMM 26-23-00-720-803 &amp; 26-23-00-730-811] 1.1  12YR 12000FH 8YR 12000FH ALL Functional check cargo fire extinguishing distribution system(flow and pressure check). INTERVAL NOTE:Which ever comes first.Schedule with AuxTank Removal Interval. ACCESS NOTE: Removal of airconditioning ducting and fwd auxtank maybe required.</t>
  </si>
  <si>
    <t>26-340-00-03</t>
  </si>
  <si>
    <t>26-23-00-720-803 &amp; 26-23-00-730-811</t>
  </si>
  <si>
    <t>[BBJ TASK 26-370-00-03] /[AMM 26-23-00-730-809 ] 1.1 12YR 7500FH 8YR 7500FH ALL ALL Operationally check the cargo fire extinguishing arm/discharges witches to verify circuitry. . INTERVAL NOTE:Which ever comes first.Schedule with AuxTank Removal Interval. ACCESS NOTE: Removal of airconditioning ducting and fwd auxtank maybe required.</t>
  </si>
  <si>
    <t>26-370-00-03</t>
  </si>
  <si>
    <t>26-23-00-730-809</t>
  </si>
  <si>
    <t>[BBJ TASK 26-390-00-01] / [AMM 26-23-04-000-801 &amp; 26-23-04-400-801] 1.1 NOTE  ALL Replace the cargo compartment fire extinguishing system filter/drier. AIRPLANE NOTE: Filter/drier and metering orifice are applicable if three bottle configuration is installed. INTERVAL NOTE: At fire extinguisher bottle discharge. ACCESS NOTE: Removal of airconditioning ducting and fwd auxtank maybe required.</t>
  </si>
  <si>
    <t>26-390-00-01</t>
  </si>
  <si>
    <t>26-23-04-000-801 &amp; 26-23-04-400-801</t>
  </si>
  <si>
    <t>[BBJ TASK 27-036-00-01] /[ AMM 27-21-61-210-801] 1.1 8YR  ALL Detail Inspection of Aft Rudder Quadrant, Torque Tube Assembly ,Feeland Centering Unit, and associated Input/Output</t>
  </si>
  <si>
    <t>27-036-00-01</t>
  </si>
  <si>
    <t>27-21-61-210-801</t>
  </si>
  <si>
    <t>BBJ TASK 27-076-00-01] / [AMM 27-31-14-210-801] 1.1 8YR  ALL Perform a general visual inspection of the elevator power control units with hydraulic power on.</t>
  </si>
  <si>
    <t xml:space="preserve"> 27-076-00-01</t>
  </si>
  <si>
    <t xml:space="preserve"> 27-31-14-210-801</t>
  </si>
  <si>
    <t>[BBJ TASK 27-086-00-01] /[AMM 27-31-00-700-815] 1.1  1.2 8YR 6000FH 8YR 6000FH ALL  Operationally check the elevator tab control system.</t>
  </si>
  <si>
    <t>27-086-00-01</t>
  </si>
  <si>
    <t>27-31-00-700-815</t>
  </si>
  <si>
    <t>[BBJ TASK 27-100-00-01] / [AMM 27-31-00-200-801] 1.1 8YR  ALL Perform a detailed visual inspection of the elevator push rods (between output torque tube and control surface) and attachment bolts.</t>
  </si>
  <si>
    <t>27-100-00-01</t>
  </si>
  <si>
    <t>27-31-00-200-801</t>
  </si>
  <si>
    <t>[BBJ TASK 27-101-00-01] /[ AMM 27-31-00-211-801] 1.1 8YR  ALL Perform a detailed visual inspection of the single element dual load path feel and centering unit output rod.</t>
  </si>
  <si>
    <t>27-101-00-0</t>
  </si>
  <si>
    <t>27-31-00-211-801</t>
  </si>
  <si>
    <t>[BBJ TASK 27-178-00-01] / [ AMM 12-22-51-610-805] 1.1 1.2 8YR 7500FH 8YR 7500FH  ALL Check alternate flap drive gearbox oil level and service as required.</t>
  </si>
  <si>
    <t>27-178-00-01</t>
  </si>
  <si>
    <t>12-22-51-610-805</t>
  </si>
  <si>
    <t>[BBJ TASK 27-214-00-01] /[ AMM 27-81-00-710-801] 1.1 1.2 8YR 7500FH 8YR 7500FH ALL Operationally check the leading edge standby actuation system.</t>
  </si>
  <si>
    <t xml:space="preserve"> 27-214-00-01</t>
  </si>
  <si>
    <t>27-81-00-710-801</t>
  </si>
  <si>
    <t>[BBJ TASK 27-225-01-01] /[ AMM 27-81-00-210-801] 1.1  1.2 8YR 6000FH 8YR 6000FH ALL  Perform a general visual inspection of the left wing leading edge flap and slat actuators and left wing leading edge flap and slat actuation mechanisms. ACCESS NOTE: Leading edges extended.</t>
  </si>
  <si>
    <t>27-225-01-01</t>
  </si>
  <si>
    <t>27-81-00-210-801</t>
  </si>
  <si>
    <t>[BBJ TASK 27-225-02-01] / [AMM 27-81-00-210-801] 1.1  1.2 8YR 6000FH 8YR 6000FH ALL  Perform a general visual inspection of the right wing leading edge flap and slat actuators and right wing leading edge flap and slat actuation mechanisms. ACCESS NOTE: Leading edges extended.</t>
  </si>
  <si>
    <t>27-225-02-01</t>
  </si>
  <si>
    <t>[BBJ TASK 27-228-00-08] / [ AMM 20-20-31-200-801, 20-20-31-200-802 &amp; 20-20-31-200-805] 1.1 12YR 8YR ALL Perform a detail visual inspection of all internal portions of the flight control cables for broken wires within the tail compartment ,associated pulleys, brackets, and mechanisms for condition and security of installation. Note:The control cable system must be displaced full travel in each direction for complete inspection at seals,pulleys, and fair lead areas. INTERVAL NOTE: Repeat Interval is 8YRS to coincide with AuxTank Removal Interval.Not to exceed 12YRS.</t>
  </si>
  <si>
    <t>27-228-00-08</t>
  </si>
  <si>
    <t>[BBJ TASK 27-229-00-01] / [AMM 20-20-31-200-801 &amp; 20-20-31-200-802] 1.1 8YR ALL Inspect(detailed) inboard trailing edge aft flap drive cable. ACCESS NOTE: Flaps extended.</t>
  </si>
  <si>
    <t>27-229-00-01</t>
  </si>
  <si>
    <t>[BBJ TASK 27-229-00-02] / [AMM 20-20-31-200-801 &amp; 20-20-31-200-802] 1.1 8YR  ALL Inspect(detailed) inboard trailing edge aft flap drive cable. ACCESS NOTE: Flaps extended.</t>
  </si>
  <si>
    <t>27-229-00-02</t>
  </si>
  <si>
    <t>[BBJ TASK 27-230-00-01] / [ AMM 20-20-31-200-801, 20-20-31-200-802 &amp; 20-20-31-200-805 ] 1.1 12YR 8YR ALL  Perform a detail visual inspection of all flight control cables for broken wires within the passenger compartment over the wing center section from B.S.540 to B.S.663.75. Check associated pulleys,brackets, and mechanisms for condition and security of installation. Note:The control cable system must be displaced full travel in each direction for complete inspection at seals,pulleys,and fair lead areas. INTERVAL NOTE: Threshold Interval not to exceed 18YRS.Repeat Interval is 8YRS to coincide with AuxTank Removal Interval.Repeat Interval not to exceed 18YRS ACCESS NOTE: Passenger cabin floor panels between B.S.540 to B.S.663.75.</t>
  </si>
  <si>
    <t>27-230-00-01</t>
  </si>
  <si>
    <t>[BBJ TASK 27-230-00-02] / [AMM 20-20-31-200-801, 20-20-31-200-802 &amp; 20-20-31-200-805] 1.1 12YR 8YR  ALL Perform a detail visual inspection of all flight control cables for broken wires within the pilot's control quadrant.Check associated pulleys, brackets, and mechanisms for condition and security of installation. Note:The control cable system must bed is placed full travel in each direction for complete inspection at  seals,pulleys,and fairlead areas. INTERVAL NOTE: Threshold Interval not to exceed 18YRS.Repeat Interval is 8YRS to coincide with AuxTank Removal Interval.Repeat Interval not to exceed 18YRS</t>
  </si>
  <si>
    <t>27-230-00-02</t>
  </si>
  <si>
    <t>[BBJ TASK 27-235-00-01] / [ AMM 27-11-00-820-801 , 27-21-00-820-808-001 &amp; 27-31-00-820-801] 1.1 12YR 8YR  ALL Functionally check flight control cable tension. (Airplanes without the rudder system enhancement) INTERVAL NOTE: Repeat Interval is 8YRS to coincide with AuxTank Removal Interval.</t>
  </si>
  <si>
    <t>27-235-00-01</t>
  </si>
  <si>
    <t>27-11-00-820-801 , 27-21-00-820-808-001 &amp; 27-31-00-820-801</t>
  </si>
  <si>
    <t>[BBJ TASK 27-235-00-02] / [AMM 27-11-00-820-801, 27-21-00-820-808-002  &amp; 27-31-00-820-801] 1.1 12YR 8YR ALL ALL Functionally check flight control cable tension. (Airplanes with the rudder system enhancement) INTERVAL NOTE: Repeat Interval is 8YRS to coincide with AuxTank Removal Interval.</t>
  </si>
  <si>
    <t>27-235-00-02</t>
  </si>
  <si>
    <t>27-11-00-820-801, 27-21-00-820-808-002  &amp; 27-31-00-820-801</t>
  </si>
  <si>
    <t>[BBJ TASK 28-020-01-01] /[AMM 28-13-41-200-801] 1.1 8YR  ALL Operationally check the left surge tank pressure relief valves.</t>
  </si>
  <si>
    <t>28-020-01-01</t>
  </si>
  <si>
    <t>28-13-41-200-801</t>
  </si>
  <si>
    <t>[BBJ TASK 28-020-02-01] /[AMM 28-13-41-200-801] 1.1 8YR  ALL Operationally check the rights urge tank pressure relief valves.</t>
  </si>
  <si>
    <t>28-020-02-01</t>
  </si>
  <si>
    <t>[BBJ TASK 28-030-01-01] / [AMM 28-13-31-211-801] 1.1 8YR  ALL Inspect(detailed) the left surge tank vent flame arrest or for clogging, condition,and security.</t>
  </si>
  <si>
    <t xml:space="preserve"> 28-030-01-01</t>
  </si>
  <si>
    <t>28-13-31-211-801</t>
  </si>
  <si>
    <t>[BBJ TASK 28-030-02-01] / [AMM 28-030-02-01] 1.1 8YR  ALL Inspect(detailed) the rights urge tank vent flame arrest or for clogging, condition,and security.</t>
  </si>
  <si>
    <t>28-030-02-01</t>
  </si>
  <si>
    <t>[BBJ TASK 28-150-00-01] / [AMM 28-00-00-760-801] 1.1 8YR  ALL Perform a functional check (resistance measurement) the bonding between fuel pumps and adjoining structure for the left and center pumps located external to the left wing fuel tank.(SFAR88)</t>
  </si>
  <si>
    <t>28-150-00-01</t>
  </si>
  <si>
    <t>28-00-00-760-801</t>
  </si>
  <si>
    <t>[BBJ TASK 28-150-00-02] / [AMM 28-00-00-760-802] 1.1 8YR  ALL Perform a functional check (resistance measurement) the bonding between fuel pumps and ad joining structure for the right and center pumps located external to the right wing fuel tank.(SFAR88)</t>
  </si>
  <si>
    <t>28-150-00-02</t>
  </si>
  <si>
    <t>28-00-00-760-802</t>
  </si>
  <si>
    <t>[BBJ TASK 29-240-00-01] / [AMM 27-81-00-860-802] 1.1 1.2 8YR 7500FH 8YR 7500FH ALL ALL Operationally check the alternate leading edge flaps and slats system. Note:This task is satisfied by accomplishment of task 27-214-00.</t>
  </si>
  <si>
    <t>29-240-00-01</t>
  </si>
  <si>
    <t>27-81-00-860-802</t>
  </si>
  <si>
    <t>[BBJ TASK 29-250-00-01] / [AMM 29-22-00-710-801] 1.1 8YR ALL  Operationally check the power transfer unit control system and check the control valve for proper position. INTERVALNOTE: Not to exceed 10years.</t>
  </si>
  <si>
    <t>29-250-00-01</t>
  </si>
  <si>
    <t>29-22-00-710-801</t>
  </si>
  <si>
    <t>[BBJ TASK 31-120-00-05] / [AMM 31-31-00-700-801, 31-31-00-970-808] 1.1 1.2 8YR 7500FH 8YR 7500FH ALL  Download data from flight data recorder (FDR) to check interfacing system output to FDR (off aircraft). Note:Depending on the availability of tools/equipment to download the FDR data,only one Task Card is required to be accomplished per schedule per airplane.</t>
  </si>
  <si>
    <t>31-120-00-05</t>
  </si>
  <si>
    <t>31-31-00-700-801, 31-31-00-970-808</t>
  </si>
  <si>
    <t>[BBJ TASK 31-160-01-01] / [AMM 31-62-11-000-801 ,31-62-11-100-803 31-62-11-400-801] 1.1 8YR  ALL Restore (Clean) all lint, dust and debris from the ventilation holes located on the aft side of  the captain's primary flight, navigation, and center lower engine display units. INTERVAL NOTE: Display unit lint,dust and debris accumulation rates are dependent on operator environment, route structure and time of the year.Airline operators are encouraged to evaluate their particular 737 NG operating environment, accompanied  with debris findings at time of cleaning to identify and implement the most effective and economic maintenance interval.Operators should negotiate with their local regulatory  agency to adjust intervals to a best fit for their individual operational environments.</t>
  </si>
  <si>
    <t>31-160-01-01</t>
  </si>
  <si>
    <t>31-62-11-000-801 ,31-62-11-100-803 31-62-11-400-801</t>
  </si>
  <si>
    <t>[BBJ TASK 31-160-02-01] / [ AMM 31-62-11-000-801 , 31-62-11-100-803 &amp; 31-62-11-400-801 ] 1.1 8YR  ALL Restore(Clean) all lint, dust and debris from the ventilation holes located on the aft side of the first officer's primary flight, navigation,and upper center engine display units. INTERVAL NOTE: Display unit lint, dust and debris accumulation rates are dependent on operator environment, route structure and time of the year.Airline operators are encouraged to evaluate their particular 737NG operating environment,accompanied with debris findings at time of cleaning to identify and implement the most effective and economic maintenance interval.Operators should negotiate with their local regulatory agency to adjust intervals to a best fit for their individual operational environments.</t>
  </si>
  <si>
    <t>31-160-02-01</t>
  </si>
  <si>
    <t xml:space="preserve"> 31-62-11-000-801 , 31-62-11-100-803 &amp; 31-62-11-400-801</t>
  </si>
  <si>
    <t>[BBJ TASK 32-340-00-01] /[AMM 32-44-00-790-801] 1.1 8YR  ALL Perform a functional bleed down check of the parking brake system and brake accumulator precharge pressure.</t>
  </si>
  <si>
    <t>32-340-00-01</t>
  </si>
  <si>
    <t>32-44-00-790-801</t>
  </si>
  <si>
    <t>[BBJ TASK 32-400-00-01]/[AMM32-51-51-200-801]. 1.1 8YR 8YR ALL ALL Perform a detail visual inspection of the nose wheel steering actuator rod ends and associated hardware.</t>
  </si>
  <si>
    <t>32-400-00-0</t>
  </si>
  <si>
    <t>32-51-51-200-801</t>
  </si>
  <si>
    <t>[BBJ TASK 32-450-00-01]/[AMM 20-20-31-200-801, 20-20-31-200-802 &amp; 20-20-31-200-805]. 1.1 12YR 8YR ALL Perform a detail visual inspection of the control cables above the MLG wheel well for broken wires from B.S.663.75 to B.S. 727.Check associated pulleys,brackets, and mechanisms for condition and security of installation.The following cables are located above the MLG wheel well: A.Main landing gear control cables B.MLG manual extension cables C.MLG brake control cables Note:The control cable system must be displaced full travel in each direction for complete inspection at seals,pulleys, and fair lead areas. INTERVAL NOTE: Repeat Interval is 8YRS to coincide with Aux Tank Removal Interval.Not to exceed 12YRS. ACCESS NOTE: Passenger cabin floor panels between B.S.663.75 and B.S.727</t>
  </si>
  <si>
    <t>32-450-00-01</t>
  </si>
  <si>
    <t>[BBJ TASK 32-450-00-02] / [AMM 20-20-31-200-801, 20-20-31-200-802 ,20-20-31-200-805 &amp; 32-31-22-211-802] 1.1 12YR  ALL Perform a detail visual inspection of the control cables for broken wires within the lower nose compartment. Check associated pulleys, brackets, and mechanisms for condition and security of installation.The following cables are located within the lower nose compartment: A. MLG control cables B.MLG manual extension cables C.MLG brake control cables D.NLG Manual extension cables E.NLG Steering cables Note:The control cable system must be displaced full travel in each direction for complete inspection at seals,pulleys, and fair lead areas. INTERVAL NOTE: Repeat Interval is 8YRS to coincide with Aux Tank Removal Interval.Not to exceed 12YRS.</t>
  </si>
  <si>
    <t>32-450-00-02</t>
  </si>
  <si>
    <t>20-20-31-200-801, 20-20-31-200-802 ,20-20-31-200-805 &amp; 32-31-22-211-802</t>
  </si>
  <si>
    <t>[BBJ TASK 34-070-00-01] / [AMM 34-11-01-200-804] 1.1 8YR ALL Detail visual inspection of the pitot probes.</t>
  </si>
  <si>
    <t>34-070-00-01</t>
  </si>
  <si>
    <t>34-11-01-200-804</t>
  </si>
  <si>
    <t>[BBJ TASK 34-140-00-01] / [AMM 34-24-02-710-802] 1.1 8YR ALL Operationally check the Integrated Standby Flight Display Dedicated Battery/Charger. AIRPLANE NOTE: If Installed.</t>
  </si>
  <si>
    <t>34-140-00-01</t>
  </si>
  <si>
    <t>34-24-02-710-802</t>
  </si>
  <si>
    <t>[BBJ TASK 35-090-00-01] / [AMM 35-22-31-210-801-001] 1.1 8YR ALL Inspect(Detailed) 10% (rotational inspection)of the passenger, lavatory, and attendant oxygen masks for condition and security. AIRPLANE NOTE: If Installed. INTERVAL NOTE:Whichever occurs first.</t>
  </si>
  <si>
    <t>35-090-00-01</t>
  </si>
  <si>
    <t>35-22-31-210-801-001</t>
  </si>
  <si>
    <t>[BBJ TASK 35-090-00-02] / [AMM 35-22-31-210-802-002] 1.1 8YR ALL Inspect(Detailed) 10% (rotational inspection )of  the passenger, lavatory, and attendant oxygen masks for conditionand security. AIRPLANE NOTE: If Installed. INTERVAL NOTE:Whichever occurs first.</t>
  </si>
  <si>
    <t>35-090-00-02</t>
  </si>
  <si>
    <t>35-22-31-210-802-002</t>
  </si>
  <si>
    <t>[BBJ TASK 38-040-00-01] / [AMM 38-32-03-000-801 &amp; 38-32-03-400-801] 1.1 8YR ALL Restore the waste drain ball-valve by replacing the seals(2)(off aircraft). Note:The intent of the task is to restore the ball valve assembly by replacing two internal seals (P/NRS823-1) . The seals are located above and below the ball valve inside the valve assembly.</t>
  </si>
  <si>
    <t>38-040-00-01</t>
  </si>
  <si>
    <t>38-32-03-000-801 &amp; 38-32-03-400-801</t>
  </si>
  <si>
    <t>[BBJ TASK 38-060-00-01] / [AMM 38-42-10-960-801] 1.1 1.2 8YR 6500FH 8YR ALL Discard and replace the bleed air in-line filter. ACCESS NOTE: Aft cargo compartment ceiling liner panel numbers vary depending on air plane minor model.</t>
  </si>
  <si>
    <t>38-060-00-01</t>
  </si>
  <si>
    <t>38-42-10-960-801</t>
  </si>
  <si>
    <t>[BBJ TASK 49-212-00-01] / [AMM 49-81-41-200-801] 1.1 1.2 8YR 5000AH ALL Perform a general visual inspection of the eductor (on the APU) for general condition.</t>
  </si>
  <si>
    <t>49-212-00-01</t>
  </si>
  <si>
    <t>49-81-41-200-801</t>
  </si>
  <si>
    <t>[BBJ TASK 52-220-00-01] / [AMM 52-22-00-710-801] 1.1 8YR 600/700/700C/700IGW/800/900/900ER ALL Operationally check(cycle) the automatic overwing emergency exit doors. ACCESS NOTE: Zones and access panels 832 and 842 are applicable to737-800 and737-900 only.</t>
  </si>
  <si>
    <t>52-220-00-01</t>
  </si>
  <si>
    <t>52-22-00-710-801</t>
  </si>
  <si>
    <t>[BBJ TASK 52-230-00-01] / [AMM 52-22-00-210-801] 1.1 8YR 600/700/700C/700IGW/800/900/900ER ALL Perform a detailed visual inspection of the automatic overwing emergency exitdoor latch rollers, link sand pivot fittings/joints. ACCESS NOTE: Zones and access panels 832 and 842 are applicable to737-800 and737-900 only.</t>
  </si>
  <si>
    <t>52-230-00-01</t>
  </si>
  <si>
    <t>52-22-00-210-801</t>
  </si>
  <si>
    <t>[BBJ TASK 53-070-00-01] / [AMM 51-05-01-210-808 &amp; 53-05-03-210-807] 1.1 12YR 8YR ALL Inspect fuselage lower lobe from STA178 bulkhead to canted bulkhead(STA224.8 to 227.8), including bulkheads, skin panels(skins, frames,stringers), longitudinal lap splices, forward access door cutout, and nose wheelwell cutout. ACCESS NOTE: Remove weather radar mount. Remove/displace insulation blankets as required.</t>
  </si>
  <si>
    <t>53-070-00-01</t>
  </si>
  <si>
    <t>51-05-01-210-808 &amp; 53-05-03-210-807</t>
  </si>
  <si>
    <t>[BBJ TASK 53-110-00-01] / [AMM 51-05-01-210-808 &amp; 53-05-03-210-811] 1.1 12YR 8YR ALL Inspect passenger compartment floor structure in wet area as(with in approximately 20 inches from doors, galleys and lavs) from lower lobe.(Note: for the-800BCF, all floor structure from STA270 to STA540 and STA727 to STA1016 is the wet area). ACCESS NOTE: Remove ceiling and sidewall panels as required. Remove/displace insulation blankets as required. Remove or displace auxiliary fuel tank as required(business jet only). Remove forward airstairs and airstair compartment (if installed.117BL).</t>
  </si>
  <si>
    <t>53-110-00-01</t>
  </si>
  <si>
    <t>51-05-01-210-808 &amp; 53-05-03-210-811</t>
  </si>
  <si>
    <t>[BBJ TASK 53-120-00-01] / [AMM 51-05-01-210-808 &amp; 53-05-03-210-812] 1.1 12YR 8YR ALL ALL Inspect EE compartment (STA294.5to396(STA400for737-700Cand737-800BCF)), including: 1.Skin panels(skins, frames,stringers), longitudinal lapsplices, circumferential skin and stringer splices, bulkhead at STA294.5; 2.EE compartment door and airstairs door cutout surround structure;3.Forward entry and galley door cutout surround structure (portion in lower lobe). ACCESS NOTE: Remove LRUs and racks, do not remove permanently installed quired.</t>
  </si>
  <si>
    <t>53-120-00-01</t>
  </si>
  <si>
    <t>51-05-01-210-808 &amp; 53-05-03-210-812]</t>
  </si>
  <si>
    <t>[BBJ TASK 53-130-00-01] / [AMM 51-05-01-210-808 53-05-03-210-813] 1.1 12YR 8YR ALL Inspect forward cargo compartment skin panels including skins, frames, and stringers(note: inspection includes the circumferential skin and stringer splice at STA500E for the -900 models and the circumferential splice at STA500H for the-800BCF). INTERVAL NOTE: Threshold not to exceed 15YRS. Repeat not to exceed12YRS. ACCESS NOTE: Remove sidewalls and ceiling panels.Remove/displace insulation blankets as required. Remove/ displace auxiliary fuel tank as required(business jet only).</t>
  </si>
  <si>
    <t>53-130-00-01</t>
  </si>
  <si>
    <t>51-05-01-210-808 53-05-03-210-813</t>
  </si>
  <si>
    <t>[BBJ TASK 53-140-00-01] / [AMM 51-05-01-210-808 &amp; 53-05-03-210-814] 1.1 12YR 8YR ALL Inspect forward cargo compartment (STA360 to forward cargo compartment aft bulkhead) floor structure from LBL18.2 to RBL17.7: longitudinal rails(extruded zees and channels), tiedown track sand intercostals. INTERVAL NOTE: Repeat not to exceed 12YRS. ACCESS NOTE: Remove cargo floor panels. Remove/displace cargo loading system as required.</t>
  </si>
  <si>
    <t>53-140-00-01</t>
  </si>
  <si>
    <t>51-05-01-210-808 &amp; 53-05-03-210-814</t>
  </si>
  <si>
    <t>[BBJ TASK 53-140-10-01] / [AMM 53-140-10-01] 1.1 12YR 8YR ALL Inspect aft cargo compartment (STA727 to STA947.5) floor structure from LBL17.2 to RBL13.8: longitudinal rails(extruded zees and channels), tiedown track sand intercostals. INTERVAL NOTE:Whichever comes first. ACCESS NOTE: Remove cargo floor panels. Remove/displace cargo loading system as required.</t>
  </si>
  <si>
    <t>53-140-10-01</t>
  </si>
  <si>
    <t>[BBJ TASK 53-150-00-01] / [AMM 51-05-01-210-808 &amp; 53-05-03-211-803] 1.1 12YR 8YR ALL Inspect forward cargo door cutout surround structure. ACCESS NOTE: Remove door reveals and scuff plates. Remove side walls as required. Remove/displace insulation blankets as required.</t>
  </si>
  <si>
    <t>53-150-00-01</t>
  </si>
  <si>
    <t>51-05-01-210-808 &amp; 53-05-03-211-803</t>
  </si>
  <si>
    <t>[BBJ TASK 53-160-00-01] / [AMM 51-05-01-210-808 &amp; 53-05-03-210-816] 1.1 12YR 8YR ALL Inspect forward bilge skin panels including skins, frames, stringers, longitudinal lap splices, and cargo door cutout surround structure in bilge (note: inspection includes the circumferential skin and stringer splice at STA500E for the-900models). ACCESS NOTE: Remove cargo floor panels and scuff plates. Remove/Displace insulation blankets as required.</t>
  </si>
  <si>
    <t>53-160-00-01</t>
  </si>
  <si>
    <t>51-05-01-210-808 &amp; 53-05-03-210-816</t>
  </si>
  <si>
    <t>[BBJ TASK 53-170-00-01] / [AMM 51-05-01-210-808 &amp; 53-05-03-210-817] 1.1 12YR 8YR ALL Inspect area aft of forward cargo compartment, including skin panels (skins, frames,stringers), longitudinal lapsplices, circumferential skin and stringer splices, and forward side of Sta540 bulkhead and bulkhead splices. INTERVAL NOTE: Threshold not to exceed 15YRS. Repeat Interval is 8YRS to coincide with Aux Tank Removal Interval. Repeat not to exceed 12YRS. ACCESS NOTE: Remove forward cargo compartment aft bulkhead panels.   Remove/displaceinsulationblanketsas required.Removeductingasrequired.Removeordisplaceauxiliaryfuel tankasrequired.</t>
  </si>
  <si>
    <t>51-05-01-210-808 &amp; 53-05-03-210-817</t>
  </si>
  <si>
    <t>[BBJ TASK 53-180-00-01] / [AMM 51-05-01-210-806 &amp; 53-05-03-210-818] 1.1 12YR 8YR ALL Inspect area under lower wing-to-bodyfairing(forward of wingbox), including skin panels, longitudinal lapsplices, keel beam extension ,wing-to-body drag angles, and Sta540 bulkhead (note: inspection includes the circumferential splice at STA500H forthe-800BCF). INTERVAL NOTE: Repeat not to exceed 12YRS.</t>
  </si>
  <si>
    <t>53-180-00-01</t>
  </si>
  <si>
    <t>51-05-01-210-806 &amp; 53-05-03-210-818</t>
  </si>
  <si>
    <t>[BBJ TASK 53-220-00-01] / [AMM 51-05-01-210-806 &amp; 53-05-03-210-823] 1.1 8YR ALL Inspect keel beam in wheel well (Sta663.75 to 727), including keel beam chords, webs, stiffeners, splice, keelbeam/rear spar attachment angles. ACCESS NOTE: Remove aerodynamic anti-collision light assembly if installed.</t>
  </si>
  <si>
    <t>53-220-00-01</t>
  </si>
  <si>
    <t>51-05-01-210-806 &amp; 53-05-03-210-823</t>
  </si>
  <si>
    <t>[BBJ TASK 53-230-00-01] / [AMM 53-230-00-01] 1.1 12YR 8YR ALL Inspect aft cargo compartment, including: 1.Side skin panels (skin, frames,stringers), circumferential skin and stringer splices, (note: located at Sta727I for-900 and727L for-900ER models); 2.Stringer 18 strap at side of body; 3.Stringer 18A web, chord and links; 4.Aft side of STA727 bulkhead and pressure web; 5.Fort he-800BCF, frame reinforcements at STA727B to STA867 at S-17 to S-21 (Note: frame reinforcements on LH side only at STA807 to STA847), STA747 shear ties at S-18R/L to S-20R/L, STA847 sheartie at S-18L to S-19L, STA887 frame reinforcements at S-17 to S-21 and floor beam reinforcements, and frame fitting and rail support at STA907 at S-15 to S-17. INTERVAL NOTE: Repeat not to exceed 12YRS. ACCESS NOTE: Remove side wall and ceiling panels, E6LRU, access panels around vacuum lav tank. Remove/ displace insulation blankets as required. Remove/displace vacuum lav components as required. Remove/displace auxiliary fuel tank as required(business jet only).</t>
  </si>
  <si>
    <t>53-230-00-01</t>
  </si>
  <si>
    <t>[BBJ TASK 53-240-00-01] / [AMM 51-05-01-210-808 &amp; 53-05-03-211-804] 1.1 12YR 8YR ALL Inspect aft cargo door cut out surround structure. ACCESS NOTE: Remove door reveals and scuff plates. Remove sidewalls as required. Remove/displace insulation blankets as required.</t>
  </si>
  <si>
    <t>53-240-00-01</t>
  </si>
  <si>
    <t>51-05-01-210-808 &amp; 53-05-03-211-804</t>
  </si>
  <si>
    <t>[BBJ TASK 53-250-00-01] / [AMM 51-05-01-210-808 &amp; 53-05-03-210-825] 1.1 12YR 8YR ALL Inspect aft bilge skin panels (skins, frames,stringers), longitudinal lapsplices,circumferential skin and stringer splices, (note: located at Sta727I for-900 and727L for-900ERmodels); Sta727 bulkhead and pressure web, and cargo door cutout surround structure in bilge. ACCESS NOTE: Remove cargo floor panels and scuff plates. Remove/Displace insulation blankets as required.</t>
  </si>
  <si>
    <t>53-250-00-01</t>
  </si>
  <si>
    <t xml:space="preserve"> 51-05-01-210-808 &amp; 53-05-03-210-825]</t>
  </si>
  <si>
    <t>[BBJ TASK 53-260-00-01] / [AMM 51-05-01-210-808 &amp; 53-05-03-210-826] 1.1 12YR 8YR ALL Inspect are a aft of cargo compartment, including:1.Skinpanels(skins, frames,stringers), longitudinal lapsplices, circumferential skin and stringer splices; 2. Aft entry and galley door cut out surround structure in lower lobe; 3.STA1016 bulkhead, including chords, pressure web, stiffeners, chord/web attachments; 4.Stringer splice fittings and tension bolts at STA1016; 5.For the-800BCF, frame reinforcement at STA967 at S-18 to S-21, at STA986.5 inspect floor beam to frame clip reinforcement and frame reinforcement at S-18 to S-22. AIRPLANE NOTE: Task not applicable to-900ER and-800 with Flat Pressure Bulkhead installed. INTERVAL NOTE: If no galley or lavs are installed directly above, repeat not to exceed 12YRS. ACCESS NOTE: Remove aft cargo compartment aft bulkhead panel. Remove potable water tank or aft outflow valve.Remove/displace insulation blankets asrequired.</t>
  </si>
  <si>
    <t>53-260-00-01</t>
  </si>
  <si>
    <t>51-05-01-210-808 &amp; 53-05-03-210-826</t>
  </si>
  <si>
    <t>[BBJ TASK 53-360-00-01] / [AMM 51-05-01-210-808 &amp; 53-05-03-211-809] 1.1 12YR 8YR ALL Inspect forward entry door cutout surround structure (the door cutout to, and including, the door side of the first frame from the door in both the forward and aft directions). ACCESS NOTE: Remove galleys/lavs. Remove cabin interior as required. Remove/displace insulation blankets as required.</t>
  </si>
  <si>
    <t>53-360-00-01</t>
  </si>
  <si>
    <t>51-05-01-210-808 &amp; 53-05-03-211-809</t>
  </si>
  <si>
    <t>[BBJ TASK 53-360-00-02] / [AMM 51-05-01-210-808 &amp; 53-05-03-211-810] 1.1 12YR 8YR ALL Inspect forward galley door cutout surround structure(the door cutout to, and including, the door side of the first frame from the door in both the forward and aft directions). ACCESS NOTE: Remove galleys/lavs. Remove cabin interior as required. Remove/displace insulation blankets as required.</t>
  </si>
  <si>
    <t xml:space="preserve"> 53-360-00-02</t>
  </si>
  <si>
    <t>51-05-01-210-808 &amp; 53-05-03-211-810</t>
  </si>
  <si>
    <t>[BBJ TASK 53-360-00-03] / [AMM 51-05-01-210-808 &amp; 53-05-03-211-811] 1.1 12YR 8YR ALL Inspect aft entry door cutout surround structure (the doorcut out to, and including, the door side of the first frame from the door in both the forward and aft directions). ACCESS NOTE: Remove galleys/lavs. Remove cabin interior as required. Remove/displace insulation blankets as required.</t>
  </si>
  <si>
    <t>53-360-00-03</t>
  </si>
  <si>
    <t>51-05-01-210-808 &amp; 53-05-03-211-811</t>
  </si>
  <si>
    <t>[BBJ TASK 53-360-00-04] / [AMM 51-05-01-210-808 &amp; 53-05-03-211-812] 1.1 12YR 8YR ALL Inspect aft galley door cutout surround structure(the door cutout to, and including, the door side of the first frame from the door in both the forward and aft directions). ACCESS NOTE: Remove galleys/lavs. Remove cabin interior as required. Remove/displace insulation blankets as required.</t>
  </si>
  <si>
    <t xml:space="preserve"> 53-360-00-04</t>
  </si>
  <si>
    <t>51-05-01-210-808 &amp; 53-05-03-211-812</t>
  </si>
  <si>
    <t>[BBJ TASK 53-380-00-01] / [AMM 51-05-01-210-808 &amp; 53-05-03-210-834] 1.1 12YR 8YR ALL Inspect passenger compartment floor structure in wet area(with in approximately 20inches from doors, galleys and lavatories, and the floor structure below the door to, and including, the door side of the first frame from the door in both the forward and aft directions).(Note: for the-800BCF, all floor structure in the Main Deck Cargo Compartment is a wet area). NOTE: Not applicable to airplanes with flat aft pressure bulkhead. ACCESS NOTE: Remove galleys and lavs as necessary to inspect skin, floor to fuselage structure and galley/lav attach points. Remove floor panels and sidewalls as required. Remove/displace insulation blankets as required.</t>
  </si>
  <si>
    <t>53-380-00-01</t>
  </si>
  <si>
    <t xml:space="preserve"> 51-05-01-210-808 &amp; 53-05-03-210-834</t>
  </si>
  <si>
    <t>[BBJ TASK 53-450-00-01] / [AMM 51-05-01-210-806 &amp; 53-05-03-210-841] 1.1 12YR 8YR ALL Inspect fuselage skin under dorsal fin and aft to Sta1016, including circumferential splice.</t>
  </si>
  <si>
    <t>53-450-00-01</t>
  </si>
  <si>
    <t>51-05-01-210-806 &amp; 53-05-03-210-841</t>
  </si>
  <si>
    <t>[BBJ TASK 53-460-00-01] / [AMM 51-05-01-210-806 &amp; 53-05-03-210-842] 1.1 1.2 12YR NOTE 8YR ALL Inspect vertical fin front spar fitting lugs and bolts(Sta1016). INTERVAL NOTE: Repeat interval may be satisfied by task 53-470-00. ACCESS NOTE: Bolt removal is not required.</t>
  </si>
  <si>
    <t>53-460-00-01</t>
  </si>
  <si>
    <t>51-05-01-210-806 &amp; 53-05-03-210-842</t>
  </si>
  <si>
    <t>[BBJ TASK 53-470-00-01] / [AMM 51-05-01-210-804 &amp; 53-05-03-210-843] 1.1 12YR 8YR ALL Inspect vertical fin front spar fitting lugs and bolts(STA1016). INTERVAL NOTE: Threshold not to exceed 21YRS.Repeat not to exceed 9YRS. ACCESS NOTE: Bolt removal is required. Remove only one bolt at a time.</t>
  </si>
  <si>
    <t>53-470-00-01</t>
  </si>
  <si>
    <t>51-05-01-210-804 &amp; 53-05-03-210-843</t>
  </si>
  <si>
    <t>[BBJ TASK 53-480-00-01] / [AMM 51-05-01-210-806 &amp; 53-05-03-210-844] 1.1 12YR 8YR ALL Inspect vertical fin rear spar fitting lugs and bolts at Sta1088. Inspect fuselage skin under vertical fin from Sta1016 to 1088. ACCESS NOTE: Bolt removal is not required.</t>
  </si>
  <si>
    <t xml:space="preserve"> 53-480-00-01</t>
  </si>
  <si>
    <t>51-05-01-210-806 &amp; 53-05-03-210-844</t>
  </si>
  <si>
    <t>[BBJ TASK 53-814-00-01] / [AMM 05-41-01-210-808] 1.1 12YR 8YR ALL Perform an internal zonal inspection(GV) of the area above the forward cargo compartment-section43, STA396 to forward cargo compartment aft bulkhead. INTERVAL NOTE: Repeat Interval is 8YRS to coincide with Aux Tank Removal Interval. ACCESS NOTE: Ceiling panels removal required. Remove or displace auxiliary fuel tank required, if installed.</t>
  </si>
  <si>
    <t>53-814-00-01</t>
  </si>
  <si>
    <t xml:space="preserve"> 05-41-01-210-808</t>
  </si>
  <si>
    <t>[BBJ TASK 53-816-00-01] / [AMM 05-41-01-210-809] 1.1 12YR 8YR ALL Perform an internal zonal inspection(GV) of the forward cargo compartment-section43, STA396 to forward cargo compartment aft bulkhead. INTERVAL NOTE: Repeat Interval is 8YRS to coincide with Aux Tank Removal Interval. Not to exceed 12YRS. ACCESS NOTE: Sidewall panels removal required.</t>
  </si>
  <si>
    <t xml:space="preserve"> 53-816-00-01</t>
  </si>
  <si>
    <t>05-41-01-210-809</t>
  </si>
  <si>
    <t>[BBJ TASK 53-820-00-01] &amp; [AMM 05-41-01-210-811] 1.1 12YR 8YR ALL Perform an internal zonal inspection(GV) of the area below the forward cargo compartment-Section43, Sta396 to forward cargo compartment aft bulkhead.(EZAP) INTERVAL NOTE: The EZAP inspection requirement with interval 18000FC/6YR is satisfied by this zonal inspection. REPEAT: The Repeat Interval is 8YRS to coincide with AuxTank Removal Interval. ACCESS NOTE: Remove cargo floor panels. Displace sidewalls as required. Cargo loading system removed/ displaced as required.</t>
  </si>
  <si>
    <t>53-820-00-01</t>
  </si>
  <si>
    <t>05-41-01-210-811</t>
  </si>
  <si>
    <t>[BBJ TASK 53-822-00-01] / [AMM 05-41-01-210-812] 1.1 12YR 8YR ALL Perform an internal zonal inspection(GV) of the airconditioning distribution bay-Section43, forward cargo compartment bulkhead to Sta540.(EZAP) INTERVAL NOTE: The EZAP inspection requirement with interval 36000FC/12YR is satisfied by this zonal inspection. REPEAT:The Repeat Interval is 8YRS to coincide with Aux Tank Removal Interval. ACCESS NOTE: Forward cargo compartment aft bulkhead center panel removal required.</t>
  </si>
  <si>
    <t>53-822-00-01</t>
  </si>
  <si>
    <t>05-41-01-210-812</t>
  </si>
  <si>
    <t>[BBJ TASK 53-826-00-01] / [AMM 05-41-01-210-814] 1.1 12YR 8YR ALL Perform an internal zonal inspection(GV) of the pressure deck above the main landing gear wheelwell-Section44, Sta 663.75 to Sta727.(EZAP) INTERVAL NOTE: The EZAP inspection requirement with interval 36000FC/12YR is satisfied by this zonal inspection. ACCESS NOTE: Floor panels removal required.</t>
  </si>
  <si>
    <t>53-826-00-01</t>
  </si>
  <si>
    <t>05-41-01-210-814</t>
  </si>
  <si>
    <t>[BBJ TASK 53-832-00-01] / [AMM 05-41-01-210-818] 1.1 12YR 8YR ALL Perform an internal zonal inspection(GV) of the aft cargo compartment-section 46 and 47(part), sta727 to sta947.5. INTERVAL NOTE: Repeat Interval is 8YRS to coincide with AuxTank Removal Interval. ACCESS NOTE: Upper angled sidewall and ceiling panels removal required.</t>
  </si>
  <si>
    <t xml:space="preserve"> 53-832-00-01</t>
  </si>
  <si>
    <t>05-41-01-210-818</t>
  </si>
  <si>
    <t>[BBJ TASK 53-834-00-01] / [AMM 05-41-01-210-819] 1.1 12YR 8YR ALL Perform an internal zonal inspection(GV)of the aft cargo compartment-section 46 and 47(part),sta 727 to sta 947.5. INTERVAL NOTE: Repeat Interval is 8YRS to coincide with Aux Tank Removal Interval. Not to exceed 12YRS. ACCESS NOTE: Side wall panels removal required.</t>
  </si>
  <si>
    <t>53-834-00-01</t>
  </si>
  <si>
    <t>05-41-01-210-819</t>
  </si>
  <si>
    <t>[BBJ TASK 53-840-00-01] / [AMM 05-41-01-210-822] 1.1 12YR 8YR ALL Perform an internal zonal inspection(GV) of the area below the aft cargo compartment-Section46 and 47(part),Sta727 toSta 947.5.(EZAP) INTERVAL NOTE: The EZAP inspection requirement with interval 18000FC/6YR is satisfied by this zonal inspection. ACCESS NOTE: Remove cargo floor panels. Displace sidewalls as required. Cargo loading system removed/ displaced as required.</t>
  </si>
  <si>
    <t>53-840-00-01</t>
  </si>
  <si>
    <t>05-41-01-210-822</t>
  </si>
  <si>
    <t>[BBJ TASK 54-010-01-01] / [AMM 51-05-01-210-809 &amp; 54-05-03-210-801] 1.1 8YR 8YR ALL ALL Inspect left forward engine mount assembly, including fan case fitting, side links, hanger, and linkpins. ACCESS NOTE: Open fancowl.</t>
  </si>
  <si>
    <t>54-010-01-01</t>
  </si>
  <si>
    <t xml:space="preserve"> 51-05-01-210-809 &amp; 54-05-03-210-801</t>
  </si>
  <si>
    <t>[BBJ TASK 54-010-02-01] / [AMM 51-05-01-210-809 &amp; 54-05-03-210-802] 1.1 8YR 8YR ALL Inspect right forward engine mount assembly, including fan case fitting, side links, hanger, and linkpins. ACCESS NOTE: Open fan cowl.</t>
  </si>
  <si>
    <t>54-010-02-01</t>
  </si>
  <si>
    <t>51-05-01-210-809 &amp; 54-05-03-210-802</t>
  </si>
  <si>
    <t>[BBJ TASK 54-030-01-01] / [AMM 51-05-01-210-809 &amp; 54-05-03-210-807] 1.1 8YR 8YR ALL Inspect aft engine mount assembly, including thrust links and thrust link pins; mount to engine left,center and right links, including link pins;hanger and evener bar; attach bolts.</t>
  </si>
  <si>
    <t>54-030-01-01</t>
  </si>
  <si>
    <t>51-05-01-210-809 &amp; 54-05-03-210-807</t>
  </si>
  <si>
    <t>[BBJ TASK 54-030-02-01] / [AMM 51-05-01-210-809 &amp; 54-05-03-210-808] 1.1 8YR 8YR ALL Inspect aft engine mount assembly, including thrust links and thrust link pins;mount to engine left, center and right links, including linkpins; hanger and evenerbar; attachbolts.</t>
  </si>
  <si>
    <t>54-030-02-01</t>
  </si>
  <si>
    <t>51-05-01-210-809 &amp; 54-05-03-210-808</t>
  </si>
  <si>
    <t>[BBJ TASK 55-050-00-01] / [AMM 51-05-01-210-804 &amp; 55-05-03-210-804] 1.1 12YR 8YR ALL Inspect vertical fin from front spar to rear spar, including spar chords and webs, in spar skins, lower closure rib, and rear spar terminal fittings. ACCESS NOTE: Remove upper removable web. Pin removal is not required for terminal fitting inspection.</t>
  </si>
  <si>
    <t>55-050-00-01</t>
  </si>
  <si>
    <t>51-05-01-210-804 &amp; 55-05-03-210-804</t>
  </si>
  <si>
    <t>[BBJ TASK 55-070-01-01] / [AMM 51-05-01-210-804 &amp; 55-05-03-210-806] 1.1 12YR 8YR ALL Inspect forward side of front spar, including front spar chords and webs, terminal fittings,and center section front spar lugs. ACCESS NOTE: Bolt removal is required to inspect terminal fittings and center section front spar lugs.</t>
  </si>
  <si>
    <t xml:space="preserve"> 55-070-01-01</t>
  </si>
  <si>
    <t>51-05-01-210-804 &amp; 55-05-03-210-806</t>
  </si>
  <si>
    <t>[BBJ TASK 55-070-02-01] / [AMM 51-05-01-210-804 &amp; 55-05-03-210-807] 1.1 12YR 8YR ALL Inspect forward side of front spar, including front spar chords and webs, terminal fittings, and center section front spar lugs. ACCESS NOTE: Bolt removal is required to inspect terminal fittings and center section front spar lugs.</t>
  </si>
  <si>
    <t>55-070-02-01</t>
  </si>
  <si>
    <t>51-05-01-210-804 &amp; 55-05-03-210-807</t>
  </si>
  <si>
    <t>[BBJ TASK 55-100-01-01] / [AMM 51-05-01-210-806 &amp; 55-05-03-210-810] 1.1 12YR 8YR ALL Inspect left horizontal stabilizer from front spar to rear spar including spar chords, webs, terminal fittings, upper and lower in spar skins.</t>
  </si>
  <si>
    <t>55-100-01-01</t>
  </si>
  <si>
    <t>51-05-01-210-806 &amp; 55-05-03-210-810</t>
  </si>
  <si>
    <t>[BBJ TASK 55-100-02-01] / [AMM 51-05-01-210-806 &amp; 55-05-03-210-811] 1.1 12YR 8YR ALL Inspect right horizontal stabilizer from front spar to rear spar including spar chords, webs, terminal fittings, upper and lower in spar skins.</t>
  </si>
  <si>
    <t>55-100-02-01</t>
  </si>
  <si>
    <t>51-05-01-210-806 &amp; 55-05-03-210-811</t>
  </si>
  <si>
    <t>[BBJ TASK 55-110-01-01] / [AMM 51-05-01-210-804 &amp; 55-05-03-210-812] 1.1 12YR 8YR ALL Inspect aft side of left horizontal stabilizer rear spar, including spar chords and webs, terminal fittings, elevator tab actuator support fitting, center section rear spar lugs, elevator hinge ribs, and elevator table ading edge. ACCESS NOTE: Disconnect balance panels in balance bays. Bolt removal is required to inspect terminal fittings and center section rear spar lugs, except at rear spar upper lugs and clevis. Remove tab hinge covers to inspect elevator table ading edge.</t>
  </si>
  <si>
    <t>55-110-01-01</t>
  </si>
  <si>
    <t>51-05-01-210-804 &amp; 55-05-03-210-812</t>
  </si>
  <si>
    <t>[BBJ TASK 55-110-02-01] / [AMM 51-05-01-210-804 &amp; 55-05-03-210-813] 1.1 12YR 8YR ALL Inspect aft side of right horizontal stabilizer rear spar, including spar chords and webs, terminal fittings, elevator tab actuator support fitting, center section rear spar lugs, elevator hinge ribs, and elevator tab leading edge. ACCESS NOTE: Disconnect balance panel sin balance bays. Bolt removal is required to inspect terminal fittings and center section rear spar lugs,except at rear spar upper lugs and clevis. Remove tab hinge covers to inspect elevator tab leading edge.</t>
  </si>
  <si>
    <t>55-110-02-01</t>
  </si>
  <si>
    <t>51-05-01-210-804 &amp; 55-05-03-210-813</t>
  </si>
  <si>
    <t>[BBJ TASK 55-111-01-01] / [AMM 51-05-01-210-804 &amp; 55-05-03-290-801] 1.1 12YR 8YR ALL Inspect(borescope) aftside of left horizontal stabilizer rear spar from STABBL254.66 to STABBL281.81, including spar chords and webs. INTERVAL NOTE:Whichever comes first. ACCESS NOTE: Remove horizontal stabilizer tip cap.</t>
  </si>
  <si>
    <t>55-111-01-01</t>
  </si>
  <si>
    <t>51-05-01-210-804 &amp; 55-05-03-290-801</t>
  </si>
  <si>
    <t>[BBJ TASK 55-111-02-01] / [AMM 51-05-01-210-804 &amp; 55-05-03-290-802] 1.1 12YR 8YR ALL Inspect(borescope) aftside of right horizontal stabilizer rear spar from STABBL254.66 to STABBL281.81, including spar chords and webs. INTERVAL NOTE:Whichever comes first. ACCESS NOTE: Remove horizontal stabilizer tip cap.</t>
  </si>
  <si>
    <t>55-111-02-01</t>
  </si>
  <si>
    <t>51-05-01-210-804 &amp; 55-05-03-290-802</t>
  </si>
  <si>
    <t>[BBJ TASK 55-115-01-01] / [AMM 51-05-01-210-804 &amp; 55-05-03-211-801] 1.1 12YR 8YR ALL Inspect left elevator tab mechanism support fittings on elevator front spar and elevator tab spar at leading edge cutouts. ACCESSNOTE: Remove upper or lower horizontal stabilizer trailing edge seal and elevator inboard hinge cover panel to inspect support fittings. Remove tab hinge covers to locally  inspect forward face of spar.</t>
  </si>
  <si>
    <t>55-115-01-01</t>
  </si>
  <si>
    <t xml:space="preserve"> 51-05-01-210-804 &amp; 55-05-03-211-801</t>
  </si>
  <si>
    <t>[BBJ TASK 55-115-02-01] / [AMM 51-05-01-210-804 &amp; 55-05-03-211-802] 1.1 12YR 8YR ALL Inspect right elevator tab mechanism support fittings on elevator front spar and elevator tab sparat leading edge cutouts. ACCESSNOTE: Remove upper or lower horizontal stabilizer trailing edge seal and elevator inboard hingecover panel to inspect support fittings. Remove tab hinge covers to locally inspect forward face of spar.</t>
  </si>
  <si>
    <t>55-115-02-01</t>
  </si>
  <si>
    <t>51-05-01-210-804 &amp; 55-05-03-211-802</t>
  </si>
  <si>
    <t>[BBJ TASK 55-130-00-01] / [AMM 51-05-01-210-806 &amp; 55-05-03-210-816 ] 1.1 12YR 8YR ALL Inspect rudder ,elevator and elevator tab skin panels, rudder and elevator spars, rudder and elevator in spar ribs, rudder and elevator leading edge skins, rudder and elevator leading edge ribs, and rudder and elevator leading edge spars. SPECIAL NOTE: Remove all decorative vinyl applique(s) (decals) on rudder skin panels prior to accomplishing inspection of under lying structure. Removal of vinyl maintenance marker sand/or placards with a surface are a less than 60square inches is not required. INTERVAL NOTE: Repeat not to exceed 9YRS.</t>
  </si>
  <si>
    <t>55-130-00-01</t>
  </si>
  <si>
    <t xml:space="preserve"> 51-05-01-210-806 &amp; 55-05-03-210-816 </t>
  </si>
  <si>
    <t>[BBJ TASK 57-040-00-01] &amp; [AMM 51-05-01-210-804 &amp; 57-05-03-210-804] 1.1 8YR ALL Inspect lower side of lower surface of wing center section: 1.Skins, typical stringers, splice stringers, front and rear spar lower chords; 2.Side of body lower tee chord and splice plates; 3.Lower beams at BL41; 4.Atattachments to keelbeam, to lower beams at BL41, to fuselage drag angles; at drain installation and access holes. ACCESS NOTE: Remove ECS heat exchanger access panel.</t>
  </si>
  <si>
    <t xml:space="preserve"> 57-040-00-01</t>
  </si>
  <si>
    <t xml:space="preserve"> 51-05-01-210-804 &amp; 57-05-03-210-804</t>
  </si>
  <si>
    <t>[BBJ TASK 57-050-00-01] &amp; [AMM 51-05-01-210-806 &amp; 57-05-03-210-805] 1.1 12YR 8YR ALL Inspect forward side of front spar, including side of body/terminal fitting attachments. INTERVAL NOTE: To coincide with aux tank removal.</t>
  </si>
  <si>
    <t>57-050-00-01</t>
  </si>
  <si>
    <t>51-05-01-210-806 &amp; 57-05-03-210-805</t>
  </si>
  <si>
    <t>[BBJ TASK 57-070-01-01] &amp; [AMM 51-05-01-210-806 &amp; 57-05-03-210-808] 1.1 8YR ALL Inspect upper side of left outboard wing upper surface(underside-of-bodyfairing), including: 1.Wing upper surface at side-of-body splice, including upper rib chord;2.Wing upper surface atattachment locations.</t>
  </si>
  <si>
    <t>57-070-01-01</t>
  </si>
  <si>
    <t>51-05-01-210-806 &amp; 57-05-03-210-808</t>
  </si>
  <si>
    <t>[BBJ TASK 57-070-02-01] &amp; [AMM 51-05-01-210-806 &amp; 57-05-03-210-809] 1.1 8YR ALL Inspect upper side of right outboard wing upper surface (underside-of-bodyfairing), including: 1.Wing upper surface at side-of-body splice, including upper rib chord; 2.Wing upper surface at attachment locations.</t>
  </si>
  <si>
    <t>57-070-02-01</t>
  </si>
  <si>
    <t>51-05-01-210-806 &amp; 57-05-03-210-809</t>
  </si>
  <si>
    <t>[BBJ TASK 57-120-01-01] / [AMM 51-05-01-210-806 &amp; 57-05-03-210-815] 1.1 8YR ALL Inspect left wing front spar chords, webs and stiffeners, including at side of body joint and at nacelle fitting attachment. ACCESS NOTE: Deploy Krueger Flaps.</t>
  </si>
  <si>
    <t>57-120-01-01</t>
  </si>
  <si>
    <t>51-05-01-210-806 &amp; 57-05-03-210-815</t>
  </si>
  <si>
    <t>[BBJ TASK 57-120-02-01] / [AMM 51-05-01-210-806 &amp; 57-05-03-210-816] 1.1 8YR ALL Inspect right wing front spar chords,webs and stiffeners, including at side of body joint and at nacelle fitting attachment. ACCESS NOTE: Deploy Krueger Flaps.</t>
  </si>
  <si>
    <t>57-120-02-01</t>
  </si>
  <si>
    <t>51-05-01-210-806 &amp; 57-05-03-210-816</t>
  </si>
  <si>
    <t>[BBJ TASK 57-140-02-01] / [AMM 51-05-01-210-809 &amp; 57-05-03-211-802] 1.1 8YR ALL Inspect right wing slat tracks. ACCESS NOTE: Extend slats.</t>
  </si>
  <si>
    <t xml:space="preserve"> 57-140-02-01</t>
  </si>
  <si>
    <t>51-05-01-210-809 &amp; 57-05-03-211-802</t>
  </si>
  <si>
    <t>[BBJ TASK 57-160-01-01] / [AMM 51-05-01-210-809 &amp; 57-05-03-210-819] 1.1 8YR ALL Inspect fuel access holes in left out board wing lower surface.(Tank entry is not required.)</t>
  </si>
  <si>
    <t>57-160-01-01</t>
  </si>
  <si>
    <t>51-05-01-210-809 &amp; 57-05-03-210-819</t>
  </si>
  <si>
    <t>[BBJ TASK 57-160-02-01] / [ 51-05-01-210-809 &amp; 57-05-03-210-820] 1.1 8YR ALL Inspect fuel access hole sin right outboard wing lower surface.(Tank entry is not required.)</t>
  </si>
  <si>
    <t>57-160-02-01</t>
  </si>
  <si>
    <t>51-05-01-210-809 &amp; 57-05-03-210-820</t>
  </si>
  <si>
    <t>[BBJ TASK 57-200-01-01] / [AMM 51-05-01-210-802 &amp; 57-05-03-210-827] 1.1 8YR ALL Inspect left inboard flap inboard track assembly, carriage assembly, forward fitting assembly, aft link and aft link pins. ACCESS NOTE: Flaps extended.</t>
  </si>
  <si>
    <t>57-200-01-01</t>
  </si>
  <si>
    <t>51-05-01-210-802 &amp; 57-05-03-210-827</t>
  </si>
  <si>
    <t>[BBJ TASK 57-200-02-01] / [AMM 51-05-01-210-802 &amp; 57-05-03-210-828] 1.1 8YR ALL Inspect right inboard flap inboard track assembly, carriage assembly, forward fitting assembly, aft link and aft link pins. ACCESS NOTE: Flaps extended.</t>
  </si>
  <si>
    <t>57-200-02-01</t>
  </si>
  <si>
    <t>51-05-01-210-802 &amp; 57-05-03-210-828</t>
  </si>
  <si>
    <t>[BBJ TASK 57-210-01-01] / [AMM 51-05-01-210-802 &amp; 57-05-03-210-829] 1.1 8YR ALL Inspect left inboard flap outboard track assembly, carriage assembly, forward fitting assembly, and aft attach fitting. ACCESS NOTE: Remove flap support forward fairing and deploy flaps.</t>
  </si>
  <si>
    <t>57-210-01-01</t>
  </si>
  <si>
    <t>51-05-01-210-802 &amp; 57-05-03-210-829</t>
  </si>
  <si>
    <t>[BBJ TASK 57-210-02-01] / [AMM 51-05-01-210-802 &amp; 57-05-03-210-830] 1.1 8YR ALL Inspect right inboard flap outboard track assembly, carriage assembly, forward fitting assembly, and aft attachfitting. ACCESS NOTE: Remove flap support forward fairing and deploy flaps.</t>
  </si>
  <si>
    <t>57-210-02-01</t>
  </si>
  <si>
    <t>51-05-01-210-802 &amp; 57-05-03-210-830</t>
  </si>
  <si>
    <t>[BBJ TASK 57-220-01-01] &amp; [AMM 51-05-01-210-812 &amp; 57-05-03-210-831] 1.1 8YR ALL Inspect lower side of lower surface(under flap support No.3 fairing), including allattachment locations and access holes.</t>
  </si>
  <si>
    <t>57-220-01-01</t>
  </si>
  <si>
    <t>51-05-01-210-812 &amp; 57-05-03-210-831</t>
  </si>
  <si>
    <t>[BBJ TASK 57-220-02-01] / [AMM 51-05-01-210-812 &amp; 57-05-03-210-832] 1.1 8YR ALL Inspect lower side of lower surface (under flap support No.6 fairing), including all attachment locations and access holes.</t>
  </si>
  <si>
    <t>57-220-02-01</t>
  </si>
  <si>
    <t>51-05-01-210-812 &amp; 57-05-03-210-832</t>
  </si>
  <si>
    <t>[BBJ TASK 57-230-01-01] / [AMM 51-05-01-210-803 &amp; 57-05-03-210-833] 1.1 8YR ALL Inspect left outboard flap inboard and outboard track assemblies, carriage assemblies, forward fitting assemblies, and aft links. ACCESS NOTE: Remove flap forward fairings and deploy flaps.</t>
  </si>
  <si>
    <t>57-230-01-01</t>
  </si>
  <si>
    <t>51-05-01-210-803 &amp; 57-05-03-210-833</t>
  </si>
  <si>
    <t>[BBJ TASK 57-230-02-01] / [AMM 51-05-01-210-803 &amp; 57-05-03-210-834] 1.1 8YR ALL Inspect right outboard flap inboard and outboard track assemblies, carriage assemblies, forward fitting assemblies, and aft links. ACCESS NOTE: Remove flap forward fairings and deploy flaps.</t>
  </si>
  <si>
    <t>57-230-02-01</t>
  </si>
  <si>
    <t>51-05-01-210-803 &amp; 57-05-03-210-834</t>
  </si>
  <si>
    <t>[BBJ TASK 57-240-01-01] / [AMM 51-05-01-210-812 &amp; 57-05-03-210-835] 1.1 8YR ALL Inspect lower side of lower surface(under flap support No.1&amp;2 fairings), including all attachment locations and access holes.</t>
  </si>
  <si>
    <t>57-240-01-01</t>
  </si>
  <si>
    <t>51-05-01-210-812 &amp; 57-05-03-210-835</t>
  </si>
  <si>
    <t>[BBJ TASK 57-240-02-01] / [AMM 51-05-01-210-812 &amp; 57-05-03-210-836] 1.1 8YR ALL Inspect lower side of lower surface (under flap support No.7&amp;8 fairings), including all attachment locations and access holes.</t>
  </si>
  <si>
    <t>57-240-02-01</t>
  </si>
  <si>
    <t>51-05-01-210-812 &amp; 57-05-03-210-836</t>
  </si>
  <si>
    <t>[BBJ TASK 57-250-01-01] / [AMM 51-05-01-210-806 &amp; 57-05-03-210-837] 1.1 8YR ALL Inspect left main landing gear support structure: 1.Main landing gear beam assembly; 2.Outboard support(dog house) assembly; 3. Inboard support(hanger link) assembly; 4.Trunnion support assembly; 5.Stabilizer links, including attach fittings and fuse pins</t>
  </si>
  <si>
    <t>57-250-01-01</t>
  </si>
  <si>
    <t>51-05-01-210-806 &amp; 57-05-03-210-837</t>
  </si>
  <si>
    <t>[BBJ TASK 57-250-02-01] / [AMM 51-05-01-210-806 &amp; 57-05-03-210-838] 1.1 8YR ALL Inspect right main landing gear support structure: 1.Main landing gear beam assembly; 2.Outboard support(dog house) assembly; 3. Inboard support(hanger link) assembly; 4.Trunnion support assembly; 5.Stabilizer links, including attach fittings and fuse pins.</t>
  </si>
  <si>
    <t>57-250-02-01</t>
  </si>
  <si>
    <t>51-05-01-210-806 &amp; 57-05-03-210-838</t>
  </si>
  <si>
    <t>[BBJ TASK 57-260-01-01] / [AMM 51-05-01-210-806 &amp; 57-05-03-210-839] 1.1 8YR ALL Inspect aft side of rear spar(chords, webs and stiffeners), including at main landing gear outboard support attachment, and at trunnion attachment.</t>
  </si>
  <si>
    <t>57-260-01-01</t>
  </si>
  <si>
    <t>51-05-01-210-806 &amp; 57-05-03-210-839</t>
  </si>
  <si>
    <t>[BBJ TASK 57-260-02-01] / [AMM 51-05-01-210-806 &amp; 57-05-03-210-840] 1.1 8YR ALL Inspect aft side of rear spar(chords,webs and stiffeners), including at main landing gear outboard support attachment, and at trunnion attachment.</t>
  </si>
  <si>
    <t>57-260-02-01</t>
  </si>
  <si>
    <t>51-05-01-210-806 &amp; 57-05-03-210-840</t>
  </si>
  <si>
    <t>[BBJ TASK 57-270-01-01] / [AMM 51-05-01-210-806 &amp; 57-05-03-210-841] 1.1 12YR 8YR ALL Inspect the interior of left wing trailing edge cavity, including skins, ribs, ailerons and spoilers. ACCESS NOTE: Flap extension required for inspection.</t>
  </si>
  <si>
    <t>57-270-01-01</t>
  </si>
  <si>
    <t>51-05-01-210-806 &amp; 57-05-03-210-841</t>
  </si>
  <si>
    <t>[BBJ TASK 57-270-02-01] / [AMM 51-05-01-210-806 &amp; 57-05-03-210-842] 1.1 12YR 8YR ALL Inspect the interior of right wing trailing edge cavity, including skins, ribs, aileron and spoilers. ACCESS NOTE: Flap extension required for inspection.</t>
  </si>
  <si>
    <t>57-270-02-01</t>
  </si>
  <si>
    <t>51-05-01-210-806 &amp; 57-05-03-210-842</t>
  </si>
  <si>
    <t>BBJ 57-280-01-01] / [AMM 51-05-01-210-812 &amp; 57-05-03-210-843] 1.1 8YR ALL Inspect left inboard ground spoiler actuator fittings. ACCESS NOTE: Extend flaps and ground spoilers.</t>
  </si>
  <si>
    <t>57-280-01-01</t>
  </si>
  <si>
    <t>51-05-01-210-812 &amp; 57-05-03-210-843</t>
  </si>
  <si>
    <t>[BBJ TASK 57-280-02-01] / [AMM 51-05-01-210-812 &amp; 57-05-03-210-844] 1.1 8YR ALL Inspect right inboard ground spoiler actuator fittings. ACCESS NOTE: Extend flaps and ground spoilers.</t>
  </si>
  <si>
    <t xml:space="preserve"> 57-280-02-01</t>
  </si>
  <si>
    <t>51-05-01-210-812 &amp; 57-05-03-210-844</t>
  </si>
  <si>
    <t>[BBJ TASK 57-310-01-01] / [AMM 51-05-01-210-806 &amp; 57-05-03-210-847] 1.1 8YR ALL Inspect aft side of rear spar(chords,webs and stiffeners), including flap track 1&amp;2 support fittings. ACCESS NOTE: After removal of access panels, disconnect aileron balance panels.</t>
  </si>
  <si>
    <t>57-310-01-01</t>
  </si>
  <si>
    <t>51-05-01-210-806 &amp; 57-05-03-210-847</t>
  </si>
  <si>
    <t>[BBJ TASK 57-310-02-01] / [AMM 51-05-01-210-806 &amp; 57-05-03-210-848] 1.1 8YR ALL Inspect aft side of rear spar(chords, webs and stiffeners), including flap track 7&amp;8 support fittings. ACCESS NOTE: After removal of access panels, disconnect aileron balance panels.</t>
  </si>
  <si>
    <t>57-310-02-01</t>
  </si>
  <si>
    <t>51-05-01-210-806 &amp; 57-05-03-210-848</t>
  </si>
  <si>
    <t>[BBJ TASK 57-340-01-01] \ [AMM 51-05-01-210-806 &amp; 57-05-03-211-803] 1.1 8YR ALL Inspect aluminum rib structure at winglet stations 0,1, and 4.Utilize borescope to inspect the flanges adjacent to skin panels and spars. SPECIAL NOTE: This task is applicable to the blended winglet installed. AIRPLANE NOTE: All air planes equipped with winglets.</t>
  </si>
  <si>
    <t>57-340-01-01</t>
  </si>
  <si>
    <t>51-05-01-210-806 &amp; 57-05-03-211-803</t>
  </si>
  <si>
    <t>[BBJ TASK 57-340-02-01] / [AMM 51-05-01-210-806 &amp; 57-05-03-211-804] 1.1 8YR ALL Inspect aluminum rib structure at winglet stations 0,1,and 4.Utilize borescope to inspect theflanges adjacent to skin panels and spars. SPECIAL NOTE: This task is applicable to the blended winglet installed. AIRPLANE NOTE: All airplanes equipped with winglets</t>
  </si>
  <si>
    <t xml:space="preserve"> 57-340-02-01</t>
  </si>
  <si>
    <t>51-05-01-210-806 &amp; 57-05-03-211-804</t>
  </si>
  <si>
    <t>[BBJ TASK 57-351-01-01] / [AMM 51-05-01-210-804 &amp; 57-05-03-211-805] 1.1 8YR ALL Inspect upper and lower flanges and webs, including barrel nut holes, Winglet Rib 0 and Wing Rib 27, WBL658.17. SPECIAL NOTE: This task is applicable to the blended winglet installed. AIRPLANE NOTE: Allairplanesequippedwithwinglets. ACCESSNOTE: Removewingletassembly.Remove winglet access panels as noted. Remove barrel nuts to facilitate inspection of recesses.</t>
  </si>
  <si>
    <t>57-351-01-01</t>
  </si>
  <si>
    <t>51-05-01-210-804 &amp; 57-05-03-211-806</t>
  </si>
  <si>
    <t>[BBJ TASK 57-351-02-01] /[AMM 51-05-01-210-804 &amp; 57-05-03-211-806] 1.1 8YR ALL Inspect upper and lower flanges and webs, including barrel nut holes, Winglet Rib 0 and Wing Rib27, WBL658.17. SPECIAL NOTE: This task is applicable to the blended winglet installed. AIRPLANE NOTE: All airplanes equipped with winglets. ACCESS NOTE: Remove winglet assembly. Remove winglet access panels a snoted. Remove barrel nuts to facilitate inspection of recesses.</t>
  </si>
  <si>
    <t xml:space="preserve"> 57-351-02-01</t>
  </si>
  <si>
    <t xml:space="preserve"> 05-41-05-210-828 , 27-51-00-040-801 &amp; 27-51-00-440-80</t>
  </si>
  <si>
    <t>[BBJ TASK 57-850-01-01] / [AMM 05-41-05-210-828 , 27-51-00-040-801 &amp; 27-51-00-440-801] 1.1 8YR ALL Perform an internal zonal inspection(GV) of the rear spar to landing gear support beam- left wing. ACCESS NOTE: Extend the trailing edge flaps and deploy spoilers.</t>
  </si>
  <si>
    <t>57-850-01-01</t>
  </si>
  <si>
    <t xml:space="preserve"> 05-41-05-210-828 , 27-51-00-040-801 &amp; 27-51-00-440-801</t>
  </si>
  <si>
    <t>[BBJ TASK 57-856-01-01] / [AMM 05-41-05-210-831] 1.1 8YR ALL Perform an internal zonal inspection(GV) of the inboard main flap- left wing. ACCESS NOTE: Flaps extended.</t>
  </si>
  <si>
    <t>57-856-01-01</t>
  </si>
  <si>
    <t>05-41-05-210-831</t>
  </si>
  <si>
    <t>[BBJ TASK 57-926-02-01] / [AMM 05-41-06-210-83 1.1 8YR ALL Perform an internal zonal inspection(GV) of the inboard mainflap-right wing. ACCESS NOTE: Flaps extended.</t>
  </si>
  <si>
    <t>57-926-02-01</t>
  </si>
  <si>
    <t xml:space="preserve">05-41-06-210-83 </t>
  </si>
  <si>
    <t>[BBJ TASK 70-804-01-01] / [AMM 05-41-04-210-803] 1.1 8YR ALL Perform an external zonal inspection(GV) of the fancowl-engine no.1. ACCESS NOTE: Inner and outer exterior surface.</t>
  </si>
  <si>
    <t>70-804-01-01</t>
  </si>
  <si>
    <t>05-41-04-210-803</t>
  </si>
  <si>
    <t>[BBJ TASK 70-814-02-01] / [AMM 05-41-04-210-808] 1.1 8YR ALL Perform an external zonal inspection(GV) of the fan cowl-engine no.2. ACCESS NOTE: Inner and outer exterior surface.</t>
  </si>
  <si>
    <t>70-814-02-01</t>
  </si>
  <si>
    <t>05-41-04-210-808</t>
  </si>
  <si>
    <t>[BBJ TASK 71-040-01-01] / [AMM 54-55-01-200-801 &amp; F71-71-00-700-801-F00] 1.1 8YR ALL Operationally check left engine all drain lines.</t>
  </si>
  <si>
    <t>54-55-01-200-801</t>
  </si>
  <si>
    <t>[BBJ TASK 71-040-02-01] / [AMM 54-55-01-200-801 &amp; F71-71-00-700-801-F00] 1.1 8YR ALL Operationally check right engine all drain lines.</t>
  </si>
  <si>
    <t>71-040-01-01</t>
  </si>
  <si>
    <t>54-55-01-200-801 &amp; F71-71-00-700-801-F00</t>
  </si>
  <si>
    <t>BBJ 12YR Inspection</t>
  </si>
  <si>
    <t>[BBJ TASK 20-120-01-01] / [AMM 05-55-10-220-801] 1.1 12YR ALL Detailed inspection of connectors for tightness(all connectors on harness J5, J6, J7, J8, J9, CJ9, J10, CJ10, MW0301, MW0302, MW0303 AND MW0304) on the left engine.</t>
  </si>
  <si>
    <t>20-120-01-01</t>
  </si>
  <si>
    <t>05-55-10-220-801</t>
  </si>
  <si>
    <t>[BBJ TASK 20-120-02-01] / [AMM 05-55-10-220-801] 1.1 12YR ALL Detailed inspection of connectors for tightness(all connectors on harness J5, J6, J7, J8, J9, CJ9, J10, CJ10, MW0301, MW0302, MW0303 AND MW0304) on the right engine.</t>
  </si>
  <si>
    <t>20-120-02-01</t>
  </si>
  <si>
    <t>[BBJ TASK 20-130-01-01] / [AMM 05-55-11-200-801] 1.1 12YR ALL General visual inspection of the two engine bonding straps related to HIRF/Lightning for condition and security on left engine.</t>
  </si>
  <si>
    <t>20-130-01-01</t>
  </si>
  <si>
    <t>05-55-11-200-801</t>
  </si>
  <si>
    <t>[BBJ TASK 20-130-02-01] / [AMM 05-55-11-200-801] 1.1 12YR ALL General visual inspection of the two engine bonding straps related to HIRF/Lightning for condition and security on right engine.</t>
  </si>
  <si>
    <t>20-130-02-01</t>
  </si>
  <si>
    <t>[BBJ TASK 20-350-00-01] / [AMM 05-42-01-100-805 &amp; 20-60-02-100-801] 1.1 1.2 36000FC 12YR ALL Restore(Clean) area aft of Forward Cargo Compartment.(EZAP) INTERVAL NOTE: Whichever comes first.</t>
  </si>
  <si>
    <t>20-350-00-01</t>
  </si>
  <si>
    <t>05-42-01-100-805 &amp; 20-60-02-100-801</t>
  </si>
  <si>
    <t>[BBJ TASK 20-450-00-01] / [AMM 05-42-03-211-802 &amp; 20-60-03-100-801] 1.1 1.2 36000FC 12YR ALL Inspect(Detailed) the APU starter/generator power feeder wiring and connected EWIS in the area aft of pressure bulkhead. (EZAP) INTERVAL NOTE:Whichever comes first.</t>
  </si>
  <si>
    <t>20-450-00-01</t>
  </si>
  <si>
    <t>05-42-03-211-802 &amp; 20-60-03-100-801</t>
  </si>
  <si>
    <t>[BBJ TASK 20-560-00-01] / [AMM 05-42-05-211-802 &amp; 20-60-03-100-801] 1.1 1.2 36000FC 12YR ALL Inspect(Detailed) all exposed EWIS in the area from Leading Edge to Front Spar-Left Wing.(EZAP) INTERVAL NOTE:Whichever comes first. ACCESS NOTE: Access is gained by extending slats, and through lower wing surface access panels.</t>
  </si>
  <si>
    <t>20-560-00-01</t>
  </si>
  <si>
    <t>05-42-05-211-802 &amp; 20-60-03-100-801</t>
  </si>
  <si>
    <t>[BBJ TASK 20-600-00-01] / [AMM 05-42-06-211-802 &amp; 20-60-03-100-801] 1.1 1.2 36000FC 12YR ALL Inspect(Detailed) all exposed EWIS in the area from Leading Edge to Front Spar-Right Wing.(EZAP) INTERVAL NOTE:Whichever comes first. ACCESS NOTE: Slats extended.</t>
  </si>
  <si>
    <t>20-600-00-01</t>
  </si>
  <si>
    <t>05-42-06-211-802 &amp; 20-60-03-100-801</t>
  </si>
  <si>
    <t>[BBJ TASK 21-010-00-01] / [AMM 21-25-01-000-801 &amp; 21-25-01-400-801] 1.1  7500FH 12YR 600/700/700C/ 700IGW/800/ 900/900ER ALL Replace the re-circulation fan HEPA filter(s). Note: Zone126 is applicable to all 737NG aircraft. Zone125 is applicable to737-800/900 aircraft only. INTERVAL NOTE:Whichever occurs first. ACCESS NOTE: Access panel 122GW is applicable to all 737NG aircraft. Access panel 121EW is applicable to 737-800/900 aircraft only. Access through fwd cargo aft right bulkhead. Aux Tank#4 must be removed for access(Ozark STC flips the HEPA Filter vertically and can be accessed from floor boards above).</t>
  </si>
  <si>
    <t>21-010-00-01</t>
  </si>
  <si>
    <t>21-25-01-000-801 &amp; 21-25-01-400-801</t>
  </si>
  <si>
    <t>[BBJ TASK 21-110-01-01] / [AMM 21-51-40-000-801 , 21-51-40-400-801 21-51-41-000-801 &amp; 21-51-41-400-801] 1.1 12YR ALL Functionally check the left airconditioning pack compressor discharge overheat and turbine inlet overheat switch(off aircraft)</t>
  </si>
  <si>
    <t>21-110-01-01</t>
  </si>
  <si>
    <t>21-51-40-000-801 , 21-51-40-400-801 21-51-41-000-801 &amp; 21-51-41-400-801</t>
  </si>
  <si>
    <t>[BBJ TASK21-110-02-01] / [AMM 21-51-40-000-801 21-51-40-400-801 21-51-41-000-801 21-51-41-400-801 1.1 12YR 12YR ALL ALL Functionally check the right airconditioning pack compressor discharge over heat and turbine inlet over heatswitch(off aircraft).</t>
  </si>
  <si>
    <t>21-110-02-01</t>
  </si>
  <si>
    <t>21-51-40-000-801 21-51-40-400-801 21-51-41-000-801 21-51-41-400-801</t>
  </si>
  <si>
    <t>[BBJ TASK 21-120-00-01] / [AMM 21-51-02-710-803-001] 1.1 12YR 12YR ALL ALL Operationally check pack overheat shutoff.</t>
  </si>
  <si>
    <t>21-120-00-01</t>
  </si>
  <si>
    <t>21-51-02-710-803-001</t>
  </si>
  <si>
    <t>[BBJ TASK 21-120-00-02] / [AMM 21-51-02-710-804-002] 1.1 12YR ALL Operationally check pack overheat shutoff.</t>
  </si>
  <si>
    <t>21-120-00-02</t>
  </si>
  <si>
    <t>21-51-02-710-804-002</t>
  </si>
  <si>
    <t>[BBJ TASK 26-080-00-01] / [AMM 26-21-00-730-801] 1.1 12YR ALL Functional check of the engine squib firing circuit using the engine fire handle switch.</t>
  </si>
  <si>
    <t>26-080-00-01</t>
  </si>
  <si>
    <t>26-21-00-730-801</t>
  </si>
  <si>
    <t>[BBJ TASK 26-110-00-01] / [AMM 26-21-00-720-802] 1.1 12YR ALL Operational check of the engine fire handle(Including fire handle lock over ride circuitry) for engine shutdown and isolation.</t>
  </si>
  <si>
    <t>26-110-00-01</t>
  </si>
  <si>
    <t>26-21-00-720-80</t>
  </si>
  <si>
    <t>[BBJ TASK 26-150-00-01] / [AMM 26-21-00-720-801 &amp; 26-21-00-730-803] 1.1 12YR ALL Functional check the engine fire extinguishing distribution system(flow and pressure check).</t>
  </si>
  <si>
    <t>26-150-00-01</t>
  </si>
  <si>
    <t>26-21-00-720-801 &amp; 26-21-00-730-803</t>
  </si>
  <si>
    <t>[BBJ TASK 26-170-00-01] / [AMM 26-21-01-210-801] 1.1 12YR ALL General visual inspection of engine fire extinguisher distribution system(including extinguisher bottles).</t>
  </si>
  <si>
    <t>26-170-00-0</t>
  </si>
  <si>
    <t>26-21-01-210-80</t>
  </si>
  <si>
    <t>[BBJ TASK 26-220-00-01] / [AMM 26-22-00-730-801] 1.1 12YR ALL Functional check of the APU squib firing circuit using the APU fire handle switch and verify squib circuit continuity.</t>
  </si>
  <si>
    <t>26-220-00-01</t>
  </si>
  <si>
    <t>26-22-00-730-801</t>
  </si>
  <si>
    <t>[BBJ TASK 26-230-00-01] / [AMM 26-22-00-720-801] 1.1 12YR ALL Operational check of the APU fire handle(including fire handle lock override circuitry and P28 remote APU control panel) for APU shut down and isolation.</t>
  </si>
  <si>
    <t>26-230-00-01</t>
  </si>
  <si>
    <t>26-22-00-720-801</t>
  </si>
  <si>
    <t>[BBJ TASK 26-280-00-01] / [AMM 26-22-01-210-801] 1.1 12YR ALL Detail visual inspection of the APU fire extinguishing distribution system and APU fire bottle.</t>
  </si>
  <si>
    <t xml:space="preserve"> 26-280-00-01</t>
  </si>
  <si>
    <t>26-22-01-210-801</t>
  </si>
  <si>
    <t>[BBJ TASK 27-012-00-01] / [AMM 27-11-61-210-801] 1.1 12YR ALL Perform a general visual inspection of the aileron transfer mechanism.</t>
  </si>
  <si>
    <t>27-012-00-01</t>
  </si>
  <si>
    <t>27-11-61-210-801</t>
  </si>
  <si>
    <t>[BBJ TASK27-028-00-01] / [AMM 27-11-81-210-801] 1.1 12YR ALL Perform a detail visual inspection of the aileron feel and centering springs.</t>
  </si>
  <si>
    <t>27-028-00-01</t>
  </si>
  <si>
    <t>27-11-81-210-801</t>
  </si>
  <si>
    <t>[BBJ TASK 27-030-00-01] / [AMM 27-11-00-700-807] 1.1 12YR ALL Operationally check, hydraulic power off, the aileron control surfaces for full range of travel and freedom of movement.</t>
  </si>
  <si>
    <t xml:space="preserve"> 27-030-00-01</t>
  </si>
  <si>
    <t xml:space="preserve"> 27-11-00-700-807</t>
  </si>
  <si>
    <t>[BBJ TASK 27-035-00-01] / [AMM 27-09-91-200-801] 1.1 12YR ALL Functionally check the left wing aileron surface freeplay.</t>
  </si>
  <si>
    <t>27-035-00-01</t>
  </si>
  <si>
    <t>27-09-91-200-801</t>
  </si>
  <si>
    <t>[BBJ TASK 27-035-00-02] / [AMM 27-09-91-200-801] 1.1 12YR ALL Functionally check the right wing aileron Surface freeplay.</t>
  </si>
  <si>
    <t>27-035-00-02</t>
  </si>
  <si>
    <t>[BBJ TASK 27-038-00-01] / [AMM 27-21-51-210-801] 1.1 12YR ALL Inspect(Detailed) the forward rudder mechanical control path.</t>
  </si>
  <si>
    <t>27-038-00-01</t>
  </si>
  <si>
    <t>27-21-51-210-801</t>
  </si>
  <si>
    <t>[BBJ TASK 27-058-00-01] / [AMM 27-21-24-210-802]1.1 12YR ALL Perform a detail visual inspection of the standby rudder power control unit forward and aft attachment points(structure to PCU to rudder surface).</t>
  </si>
  <si>
    <t>27-058-00-01</t>
  </si>
  <si>
    <t>27-21-24-210-802</t>
  </si>
  <si>
    <t>[BBJ TASK 27-060-00-01] / [AMM 27-21-00-700-820-001] 1.1 12YR  ALL Operationally check the wheel to rudder interconnect system(WTRIS).</t>
  </si>
  <si>
    <t xml:space="preserve"> 27-060-00-01</t>
  </si>
  <si>
    <t>27-21-00-700-820-001</t>
  </si>
  <si>
    <t>[BBJ TASK 27-060-00-02] / [AMM 27-21-00-700-820-002] 1.1 12YR ALL Operationally check the wheel to rudder interconnect system(WTRIS).</t>
  </si>
  <si>
    <t>27-060-00-02</t>
  </si>
  <si>
    <t>27-21-00-700-820-002</t>
  </si>
  <si>
    <t>[BBJ TASK 27-062-00-01] / [AMM 27-21-00-700-819-001] 1.1 12YR ALL Operationally check the rudder trim through the full range of movement.</t>
  </si>
  <si>
    <t>27-062-00-01</t>
  </si>
  <si>
    <t>27-21-00-700-819-001</t>
  </si>
  <si>
    <t>[BBJ TASK 27-062-00-02] / [AMM 27-21-00-700-819-002] 1.1 12YR ALL Operationally check the rudder trim through the full range of movement.</t>
  </si>
  <si>
    <t>27-062-00-02</t>
  </si>
  <si>
    <t>27-21-00-700-819-002</t>
  </si>
  <si>
    <t>[BBJ TASK 27-064-00-01] / [AMM 27-21-00-700-814-001] 1.1 12YR ALL Functionally check the rudder surface freeplay.</t>
  </si>
  <si>
    <t>27-064-00-01</t>
  </si>
  <si>
    <t>27-21-00-700-814-001</t>
  </si>
  <si>
    <t>[BBJ TASK 27-064-00-02] / [AMM 27-21-00-700-814-002] 1.1 12YR 12YR ALL ALL Functionallychecktheruddersurfacefreeplay.</t>
  </si>
  <si>
    <t>27-064-00-02</t>
  </si>
  <si>
    <t>27-21-00-700-814-002</t>
  </si>
  <si>
    <t>[BBJ TASK 27-073-00-01] / [AMM 27-31-61-210-801] 1.1 12YR ALL Perform a general visual inspection of the elevator mechanical control path.</t>
  </si>
  <si>
    <t>27-073-00-01</t>
  </si>
  <si>
    <t>27-31-61-210-801</t>
  </si>
  <si>
    <t>[BBJ TASK 27-074-00-01] / [AMM 27-31-00-700-807] 1.1 12YR ALL Operationally check, hydraulic power off, the elevator control surfaces for full range of travel and freedom of movement.</t>
  </si>
  <si>
    <t>27-074-00-01</t>
  </si>
  <si>
    <t>27-31-00-700-80</t>
  </si>
  <si>
    <t>[BBJ TASK 27-075-01-01] / [AMM 27-31-34-210-801] 1.1 12YR ALL Perform a general visual inspection of the left elevator balance weight installation and elevator tab control mechanism.</t>
  </si>
  <si>
    <t>27-075-01-01</t>
  </si>
  <si>
    <t>27-31-34-210-801</t>
  </si>
  <si>
    <t>[BBJ TASK 27-075-02-01] / [AMM 27-31-34-210-801] 1.1 12YR ALL Perform a general visual inspection of the right elevator balance weight installation and elevator tab control mechanism.</t>
  </si>
  <si>
    <t xml:space="preserve"> 27-075-02-01</t>
  </si>
  <si>
    <t>[BBJ TASK 27-080-00-01] / [AMM 27-31-17-200-801 &amp; 27-31-17-790-801] 1.1 12YR ALL Drain and leak check the elevator pitot-static system.</t>
  </si>
  <si>
    <t>27-080-00-01</t>
  </si>
  <si>
    <t>27-31-17-200-801 &amp; 27-31-17-790-801</t>
  </si>
  <si>
    <t>[BBJ TASK 27-088-00-01] / [AMM 27-32-00-710-801 &amp; 27-32-00-740-803] 1.1 12YR ALL Functionally check the stall warning system.</t>
  </si>
  <si>
    <t>27-088-00-01</t>
  </si>
  <si>
    <t>27-32-00-710-801 &amp; 27-32-00-740-803</t>
  </si>
  <si>
    <t>[BBJ TASK 27-094-00-01] / [AMM 22-11-26-710-801] 1.1 12YR ALL Perform a BITE check of the elevator autopilot servo pressure regulator.</t>
  </si>
  <si>
    <t>27-094-00-01</t>
  </si>
  <si>
    <t>22-11-26-710-801</t>
  </si>
  <si>
    <t>[BBJ TASK 27-098-01-01] / [AMM 27-31-32-200-804] 1.1 12YR ALL Functionally check the left and right elevator surface freeplay.</t>
  </si>
  <si>
    <t>27-098-01-01</t>
  </si>
  <si>
    <t>27-31-32-200-804</t>
  </si>
  <si>
    <t>[BBJ TASK 27-106-00-01] / [AMM 27-41-00-700-808] 1.1 12YR ALL Functionally check the secondary stabilizer trim brake. AIRPLANE NOTE: Applicable to 251A4510-6 and on Actuators.</t>
  </si>
  <si>
    <t>27-106-00-01</t>
  </si>
  <si>
    <t>27-41-00-700-808</t>
  </si>
  <si>
    <t>[BBJ TASK 27-122-00-01] / [AMM 27-41-97-700-801] 1.1 12YR ALL Operationally check the control column stabilizer trim arm and directional switches for movement of a single switch to cause stabilizer movement.</t>
  </si>
  <si>
    <t>27-122-00-01</t>
  </si>
  <si>
    <t>27-41-97-700-801</t>
  </si>
  <si>
    <t>[BBJ TASK 27-121-00-01] / [AMM 27-41-41-210-803 &amp; 27-62-00-210-801] 1.1 12YR ALL Perform a general visual inspection of the forward stabilizer trim mechanism and speedbrake lever assembly and auto speedbrake electric actuator, actuator rod end, and forward attachment point.</t>
  </si>
  <si>
    <t>27-121-00-01</t>
  </si>
  <si>
    <t xml:space="preserve"> 27-41-41-210-803 &amp; 27-62-00-210-801</t>
  </si>
  <si>
    <t>[BBJ TASK 27-120-00-01] / [AMM 27-41-41-210-802] 1.1 12YR 12YR ALL ALL Detail visual inspection of the upper and lower stabilizer trim forward mechanism retention turnbuckles and turnbuckle attachment points.</t>
  </si>
  <si>
    <t xml:space="preserve"> 27-120-00-01</t>
  </si>
  <si>
    <t>27-41-41-210-802</t>
  </si>
  <si>
    <t>[BBJ TASK 27-118-00-01] / [AMM 27-41-00-700-807] 1.1 12YR ALL Operationally check the aisle stand stabilizer trim override switch.</t>
  </si>
  <si>
    <t>27-118-00-01</t>
  </si>
  <si>
    <t>27-41-00-700-807</t>
  </si>
  <si>
    <t>[BBJ TASK 27-116-00-01] / [AMM 27-41-91-700-801] 1.1 12YR ALL Operationally check the Main Electric Horizontal Stabilizer Trim Cutout Switch (Control Stand).</t>
  </si>
  <si>
    <t>27-116-00-01</t>
  </si>
  <si>
    <t>27-41-91-700-801</t>
  </si>
  <si>
    <t>[BBJ TASK 27-112-00-01] / [AMM 27-41-00-700-805] 1.1 12YR ALL Operationally check the stabilizer trim limit switches(flaps up and flaps down).</t>
  </si>
  <si>
    <t>27-112-00-01</t>
  </si>
  <si>
    <t>27-41-00-700-805</t>
  </si>
  <si>
    <t>[BBJ TASK 27-164-00-01] / [AMM 27-51-00-740-801] 1.1 12YR ALL Operationally check the flap uncommanded motion protection system by initiating a bite check of the flap slat electronics unit.</t>
  </si>
  <si>
    <t>27-164-00-01</t>
  </si>
  <si>
    <t>27-51-00-740-801</t>
  </si>
  <si>
    <t>[BBJ TASK 27-188-00-01] [AMM 27-62-00-820-812] 1.1 12YR ALL Operationally check the speed brake refused takeoff(RTO) system.</t>
  </si>
  <si>
    <t>27-188-00-01</t>
  </si>
  <si>
    <t>27-62-00-820-812</t>
  </si>
  <si>
    <t>[BBJ TASK 27-188-00-02] / [AMM 27-62-00-820-809] 1.1 12YR ALL Operationally check the speedbrake refusedtakeoff(RTO)system. Note:This task is applicable to airplanes with ShortField PerformancePackage(if installed).</t>
  </si>
  <si>
    <t>27-188-00-02</t>
  </si>
  <si>
    <t>27-62-00-820-809</t>
  </si>
  <si>
    <t>[BBJ TASK 28-125-00-01 ] / [AMM 28-22-00-720-801] 1.1 12YR ALL Operationally check the fuel shutoff valve battery.</t>
  </si>
  <si>
    <t>28-125-00-01</t>
  </si>
  <si>
    <t>28-22-00-720-801</t>
  </si>
  <si>
    <t>[BBJ TASK 29-310-00-01] / [AMM 29-32-00-730-802 &amp; 29-32-00-730-803] 1.1 12YR ALL Functionally check the A&amp;B hydraulic system case drain warning switches. Note:Two AMM procedures are provided in this task card:AMM Task 29-32-00-730-802 (Preferred Method) and Task 29-32-00-730-803 (Alternate Method). Operators need to perform only one of the two procedures by selecting the one that would align with their maintenance practices.</t>
  </si>
  <si>
    <t>29-310-00-01</t>
  </si>
  <si>
    <t xml:space="preserve"> 29-32-00-730-802 &amp; 29-32-00-730-80</t>
  </si>
  <si>
    <t>[BBJ TASK 31-010-00-01] / [AMM 31-51-00-740-801] 1.1 12YR ALL Functional check of the aural warning module(AWM) using bite check.</t>
  </si>
  <si>
    <t>31-010-00-01</t>
  </si>
  <si>
    <t>31-51-00-740-801</t>
  </si>
  <si>
    <t>[BBJ TASK 32-110-00-01] / [AMM 32-31-51-200-801 1.1 12YR ALL Perform a detail visual inspection of the landing gear selector valve.</t>
  </si>
  <si>
    <t>32-110-00-01</t>
  </si>
  <si>
    <t>32-31-51-200-801</t>
  </si>
  <si>
    <t>[BBJ TASK 32-120-00-01] / [AMM 32-21-00-200-801] 1.1 12YR ALL Perform a detail visual inspection of the nose landing gear extension and retraction mechanism. (Includes retract actuator, lock actuator,and lock mechanism)</t>
  </si>
  <si>
    <t>32-120-00-01</t>
  </si>
  <si>
    <t>32-21-00-200-801</t>
  </si>
  <si>
    <t>[BBJ TASK 32-150-00-01] / [AMM 32-11-00-200-801] 1.1 12YR ALL Perform a detail visual inspection of the left main landing gear extension and retraction mechanism.(Includes retraction actuators, uplock actuators, downlock actuators, uplock mechanism, and down lockmechanism).</t>
  </si>
  <si>
    <t>32-150-00-01</t>
  </si>
  <si>
    <t>32-11-00-200-80</t>
  </si>
  <si>
    <t>[BBJ TASK 32-150-00-02] / [AMM 32-11-00-200-801] 1.1 12YR ALL Perform a detail visual inspection of the right main landing gear extension and retraction mechanism.(Includes retraction actuators, uplock actuators, downlock actuators,uplock mechanism, and downlock mechanism).</t>
  </si>
  <si>
    <t>32-150-00-0</t>
  </si>
  <si>
    <t xml:space="preserve"> 32-11-00-200-801</t>
  </si>
  <si>
    <t>[BBJ TASK 32-230-00-01] / [AMM 32-32-21-000-801 &amp; 32-32-21-400-801] 1.1 12YR ALL Remove the left main landing gear wheel well protection retract pressure fuse for functional test.</t>
  </si>
  <si>
    <t>32-230-00-01</t>
  </si>
  <si>
    <t>32-32-21-000-801 &amp; 32-32-21-400-80</t>
  </si>
  <si>
    <t>[BBJ TASK 32-230-00-02] / [AMM 32-32-21-000-801 &amp; 32-32-21-400-801]1.1 12YR ALL Remove the right main landing gear wheel well protection retract pressure fuse for functional test.</t>
  </si>
  <si>
    <t xml:space="preserve"> 32-230-00-02</t>
  </si>
  <si>
    <t>32-32-21-000-801 &amp; 32-32-21-400-801</t>
  </si>
  <si>
    <t>[BBJ TASK 32-250-00-01] / [AMM 32-41-81-000-802] 1.1 12YR 12YR ALL ALL Perform a detail visual inspection of the forward and aft brake control linkages and cable quadrants.</t>
  </si>
  <si>
    <t>32-250-00-01</t>
  </si>
  <si>
    <t>32-41-81-000-802</t>
  </si>
  <si>
    <t>[BBJ TASK 32-260-00-01] / [AMM 32-41-31-000-802] 1.1 12YR 12YR ALL ALL Perform a detail visual inspection of the brake metering valves.</t>
  </si>
  <si>
    <t>32-260-00-01</t>
  </si>
  <si>
    <t>32-41-31-000-802</t>
  </si>
  <si>
    <t>[BBJ TASK 32-310-00-01] / [AMM 32-41-00-720-801] 1.1 12YR 12YR ALL ALL Operationally check the brake accumulator isolation valve.</t>
  </si>
  <si>
    <t xml:space="preserve"> 32-310-00-01</t>
  </si>
  <si>
    <t>32-41-00-720-80</t>
  </si>
  <si>
    <t>[BBJ TASK 32-330-00-01] / [AMM 32-44-11-000-805] 1.1 12YR 12YR ALL ALL Perform a detail visual inspection of the parking brake mechanical control path.</t>
  </si>
  <si>
    <t>32-330-00-01</t>
  </si>
  <si>
    <t>32-44-11-000-805</t>
  </si>
  <si>
    <t>[BBJ TASK 32-390-00-01] / [AMM 32-51-00-200-801 &amp; 32-51-21-000-802] 1.1 12YR 12YR ALL ALL Perform a detail visual inspection of the nose wheel steering mechanical control path and rudder pedal steering interconnect control path including rotary actuator. ACCESS NOTE: Access 114AW is only applicable to airplanes with a right steering wheel.</t>
  </si>
  <si>
    <t>32-390-00-01</t>
  </si>
  <si>
    <t>32-51-00-200-801 &amp; 32-51-21-000-802</t>
  </si>
  <si>
    <t>[BBJ TASK 32-420-00-01] / [AMM 32-09-10-710-801] 1.1 12YR ALL Perform an operational check(bite check) of the proximity switch electronics unit.</t>
  </si>
  <si>
    <t xml:space="preserve"> 32-420-00-01</t>
  </si>
  <si>
    <t xml:space="preserve"> 32-09-10-710-801</t>
  </si>
  <si>
    <t>[BBJ TASK 34-080-00-01] / [AMM 34-11-02-200-803] 1.1 12YR ALL Detailed inspection of the static ports.</t>
  </si>
  <si>
    <t>34-080-00-01]</t>
  </si>
  <si>
    <t>34-11-02-200-803</t>
  </si>
  <si>
    <t>[BBJ TASK 35-080-00-01] / [AMM 35-22-00-700-801] 1.1 12YR ALL Functionally check the passenger oxygen system automatic actuation of the passenger service unit and attendant service unit door latch actuator/solenoids. AIRPLANE NOTE: If Installed.</t>
  </si>
  <si>
    <t>35-080-00-01</t>
  </si>
  <si>
    <t>35-22-00-700-801</t>
  </si>
  <si>
    <t>[BBJ TASK 35-085-00-01] / [AMM 35-22-00-700-802] 1.1 12YR ALL Operationally check passenger oxygen system manual actuation of the passenger service unit and attendant service unit door latch actuator/solenoids. AIRPLANE NOTE: If installed.</t>
  </si>
  <si>
    <t xml:space="preserve"> 35-085-00-01</t>
  </si>
  <si>
    <t>35-22-00-700-802</t>
  </si>
  <si>
    <t>[BBJ TASK 36-020-01-01] / [AMM 30-11-12-710-801 &amp; 36-12-00-710-802] 1.1 12YR ALL NOTE:When executing TASK 36-12-00-710-802, prior to Putting the Airplane Back to Its Usual Condition, keep tools and equipment set up and access opened and proceed to TASK 30-11-12-710-801.</t>
  </si>
  <si>
    <t>36-020-01-01</t>
  </si>
  <si>
    <t>30-11-12-710-801 &amp; 36-12-00-710-802</t>
  </si>
  <si>
    <t>[BBJ TASK 36-020-02-01] / [AMM 30-11-12-710-801 36-12-00-710-802] 1.1 12YR 12YR ALL ALL NOTE:When executing TASK36-12-00-710-802, prior to Putting the Airplane Back to Its Usual Condition, keep tools and equipment set up and access opened and proceed to TASK30-11-12-710-801.</t>
  </si>
  <si>
    <t>36-020-02-01</t>
  </si>
  <si>
    <t>30-11-12-710-801 36-12-00-710-802</t>
  </si>
  <si>
    <t>[BBJ TASK 36-030-01-01] / [AMM 36-12-03-000-801 &amp; 36-12-03-400-801] 1.1 12YR 12YR ALL ALL Functionally check(off-aircraft) the left precooler control valve sensor.</t>
  </si>
  <si>
    <t>36-030-01-01</t>
  </si>
  <si>
    <t>36-12-03-000-801 &amp; 36-12-03-400-801</t>
  </si>
  <si>
    <t>[BBJ TASK 36-030-02-01] / [AMM 36-12-03-000-801 &amp; 36-12-03-400-801] 1.1 12YR ALL Functionally check(off-aircraft) the right precooler control valve sensor.</t>
  </si>
  <si>
    <t>36-030-02-01</t>
  </si>
  <si>
    <t>[BBJ TASK 49-220-00-01] / [AMM 49-91-71-200-801] 1.1 1.2 12YR 10000FH  ALL Inspect(detailed) the eductor inlet duct(interior and exterior). INTERVAL NOTE:Whichever occurs first.</t>
  </si>
  <si>
    <t>49-220-00-01</t>
  </si>
  <si>
    <t>49-91-71-200-801</t>
  </si>
  <si>
    <t>[BBJ TASK 52-140-00-01] / [AMM 52-48-31-200-802] 1.1 12YR ALL Inspect(general visual) the forward access door pressure seal for degradation.</t>
  </si>
  <si>
    <t>52-140-00-01</t>
  </si>
  <si>
    <t>52-48-31-200-802</t>
  </si>
  <si>
    <t>[BBJ TASK 52-550-00-01] / [AMM 51-05-01-210-809 &amp; 52-05-03-211-807] 1.1 12YR ALL Inspect E/E equipment compartment access door stop fittings and pins. ACCESS NOTE: Remove dagger pins as required.</t>
  </si>
  <si>
    <t>52-550-00-01</t>
  </si>
  <si>
    <t>51-05-01-210-809 &amp; 52-05-03-211-807</t>
  </si>
  <si>
    <t>[BBJ TASK 52-650-00-03] / [AMM 51-05-01-210-808 &amp; 52-05-03-210-812] 1.1 12YR ALL Inspect aft entry door skin and structure. ACCESS NOTE: Remove insulation, interior liners and access panels as required.</t>
  </si>
  <si>
    <t>52-650-00-03</t>
  </si>
  <si>
    <t>51-05-01-210-808 &amp; 52-05-03-210-812</t>
  </si>
  <si>
    <t>[BBJ TASK 52-650-00-02] / [AMM 51-05-01-210-808 &amp; 52-05-03-210-811] 1.1 12YR ALL Inspect forward galley service door skin and structure. ACCESS NOTE: Remove insulation, interior liners and access panels as required.</t>
  </si>
  <si>
    <t>52-650-00-02</t>
  </si>
  <si>
    <t>51-05-01-210-808 &amp; 52-05-03-210-811</t>
  </si>
  <si>
    <t>[BBJ TASK 52-620-00-04] / [AMM 51-05-01-210-810 &amp; 52-05-03-211-816] 1.1 12YR ALL Inspect aft galley service door stop fittings and pins. ACCESS NOTE: Remove insulation, interior liners and access panels as required.</t>
  </si>
  <si>
    <t>52-620-00-03</t>
  </si>
  <si>
    <t>51-05-01-210-810 &amp; 52-05-03-211-816</t>
  </si>
  <si>
    <t>[BBJ TASK 52-620-00-03] / [AMM 51-05-01-210-810 &amp; 52-05-03-211-815] 1.1 12YR ALL Inspect aft entry door stop fittings and pins. ACCESS NOTE: Remove insulation, interior liners and access panels as required.</t>
  </si>
  <si>
    <t xml:space="preserve"> 52-620-00-03</t>
  </si>
  <si>
    <t>51-05-01-210-810 &amp; 52-05-03-211-815</t>
  </si>
  <si>
    <t>[BBJ TASK 52-620-00-02] / [AMM 51-05-01-210-810 &amp; 52-05-03-211-814] 1.1 12YR ALL Inspect forward galley service door stop fittings and pins. ACCESS NOTE: Remove insulation, interior liners and access panels as required.</t>
  </si>
  <si>
    <t>52-620-00-02</t>
  </si>
  <si>
    <t>51-05-01-210-810 &amp; 52-05-03-211-814</t>
  </si>
  <si>
    <t>[BBJ TASK 52-620-00-01] / [AMM 51-05-01-210-810 &amp; 52-05-03-211-813] 1.1 12YR ALL Inspect forward entry door stop fittings and pins. ACCESSNOTE: Remove insulation, interior liners and access panels as required.</t>
  </si>
  <si>
    <t>52-620-00-01</t>
  </si>
  <si>
    <t>51-05-01-210-810 &amp; 52-05-03-211-813</t>
  </si>
  <si>
    <t>[BBJ TASK 52-650-00-04] / [AMM 51-05-01-210-808 &amp; 52-05-03-210-813] 1.1 12YR ALL Inspect aft galley service door skin and structure. ACCESS NOTE: Remove insulation, interior liners and access panels as required.</t>
  </si>
  <si>
    <t>52-650-00-04</t>
  </si>
  <si>
    <t>51-05-01-210-808 &amp; 52-05-03-210-813</t>
  </si>
  <si>
    <t>[BBJ TASK 52-710-00-02] / [AMM 51-05-01-210-808 &amp; 52-05-03-210-815] 1.1 12YR ALL Inspect aft cargo door skin and structure. ACCESS NOTE: Inspect with insulation blanket removed.</t>
  </si>
  <si>
    <t>52-710-00-02</t>
  </si>
  <si>
    <t>51-05-01-210-808 &amp; 52-05-03-210-815</t>
  </si>
  <si>
    <t>[BBJ TASK 52-680-00-02] / [AMM 51-05-01-210-811 &amp; 52-05-03-211-820] 1.1 12YR ALL Inspect aft cargo door stop fittings and pins. ACCESS NOTE: Inspect with insulation blanket removed.</t>
  </si>
  <si>
    <t xml:space="preserve"> 52-680-00-02</t>
  </si>
  <si>
    <t>51-05-01-210-811 &amp; 52-05-03-211-820</t>
  </si>
  <si>
    <t>[BBJ TASK 52-836-02-01] / [AMM 05-41-08-210-821 1.1 12YR ALL Perform an internal zonal inspection(GV) of the automatic overwing exit-section 44, sta627. ACCESS NOTE: Automatic overwing exitdoor liner removal required.</t>
  </si>
  <si>
    <t xml:space="preserve"> 52-836-02-01</t>
  </si>
  <si>
    <t>05-41-08-210-821</t>
  </si>
  <si>
    <t>[BBJ TASK 74-BBJ-02-01] / [AMM F74-11-01-200-801-F00] 1.1 1.2 10000FC 12YR ALL Detailed inspection of both engine exciter boxes.</t>
  </si>
  <si>
    <t>74-BBJ-02-01</t>
  </si>
  <si>
    <t>F74-11-01-200-801-F00</t>
  </si>
  <si>
    <t>[BBJ TASK 78-050-01-01] / [AMM F78-31-01-200-801-F00] 1.1 1.2 1.3 12YR 15000FH NOTE ALL Visually check the left engine T/R's fan duct walls. SPECIAL NOTE: CMR task(78-CMR-02) interval for this task is 15000FH. See CMR Document D626A001-9-03. INTERVAL NOTE:Which ever occurs first.</t>
  </si>
  <si>
    <t>78-050-01-01</t>
  </si>
  <si>
    <t>F78-31-01-200-801-F00</t>
  </si>
  <si>
    <t>[BBJ TASK 78-050-02-01] / [AMM F78-31-01-200-801-F00] 1.1 1.2 1.3 12YR 15000FH NOTE ALL Visually check the right engineT/R's fan duct walls. SPECIAL NOTE: CMR task(78-CMR-02) interval for this task is 15000FH See CMR Document D626A001-9-03. INTERVAL NOTE:Whichever occurs first.</t>
  </si>
  <si>
    <t>78-050-02-01</t>
  </si>
  <si>
    <t>[BBJ TASK 78-060-01-01] / [AMM F78-31-07-900-801-F00] 1.1 1.2 1.3 12YR 12000FH NOTE ALL Detailed inspection of the left engine thrust reverser drag link spherical bearings. INTERVAL NOTE:Whichever occurs first.</t>
  </si>
  <si>
    <t>78-060-01-01</t>
  </si>
  <si>
    <t>F78-31-07-900-801-F00</t>
  </si>
  <si>
    <t>[BBJ TASK 78-060-02-01] / [AMM F78-31-07-900-801-F00] 1.1 1.2 1.3 12YR 12000FH NOTE ALL Detailed inspection of the right engine thrust reverser draglink spherical bearings. INTERVAL NOTE:Whichever occurs first.</t>
  </si>
  <si>
    <t>78-060-02-01</t>
  </si>
  <si>
    <t>[BBJ TASK 78-070-01-01] / [AMM F78-31-06-200-801-F00] 1.1 1.2 1.3 12YR 12000FH NOTE ALL Visually check the left engine blocker doors. INTERVALNOTE:Whichever occurs first.</t>
  </si>
  <si>
    <t>78-070-01-01</t>
  </si>
  <si>
    <t>F78-31-06-200-801-F00</t>
  </si>
  <si>
    <t>[BBJ TASK 78-070-02-01] / [AMM F78-31-06-200-801-F00] 12YR 12000FH NOTE ALL Visually check the right engine blocker doors. INTERVAL NOTE:Whichever occurs first.</t>
  </si>
  <si>
    <t>78-070-02-01</t>
  </si>
  <si>
    <t>[BBJ TASK 78-080-01-01] / [AMM F78-31-23-200-801-F00] 12YR 15000FH NOTE ALL Visually check the left engine bull nose seal and retainer. SPECIAL NOTE: CMR task(78-CMR-03) interval for this task is 15000FH. SeeCMR Document D626A001-9-03. INTERVA LNOTE:Whichever occurs first.</t>
  </si>
  <si>
    <t>78-080-01-01</t>
  </si>
  <si>
    <t>F78-31-23-200-801-F00</t>
  </si>
  <si>
    <t>[BBJ TASK 78-080-02-01] / [AMM F78-31-23-200-801-F00] 12YR 15000FH NOTE ALL Visually check the right engine bullnose seal and retainer. SPECIAL NOTE: CMR task(78-CMR-03) interval for this task is 15000FH. See CMR Document D626A001-9-03. INTERVAL NOTE:Whichever occurs first.</t>
  </si>
  <si>
    <t>78-080-02-01</t>
  </si>
  <si>
    <t>[BBJ TASK 78-130-01-01] / [AMM F78-31-00-700-801-F00] 12YR 15000FH NOTE ALL Perform an operational check of the left engine "reverser" light indication system. SPECIAL NOTE: CMR task(78-CMR-05) interval for this task is 15000FH. See CMR Document D626A001-9-03. INTERVALNOTE:Whichever occurs first.</t>
  </si>
  <si>
    <t>78-130-01-01</t>
  </si>
  <si>
    <t>F78-31-00-700-801-F00</t>
  </si>
  <si>
    <t>[BBJ TASK 78-130-02-01] / [AMM F78-31-00-700-801-F00] 12YR 15000FH NOTE ALL Perform an operational check of the right engine "reverser" light indication system. SPECIAL NOTE: CMR task(78-CMR-05) interval for this task is 15000FH. See CMR Document D626A001-9-03. INTERVALNOTE:Whichever occurs first.</t>
  </si>
  <si>
    <t xml:space="preserve"> 78-130-02-01</t>
  </si>
  <si>
    <t>BBJ 10YR Inspection</t>
  </si>
  <si>
    <t>[BBJ TASK 25-410-00-01] / [AMM 25-64-00-900-807] 1.1 VENREC ALL Discard the smoke hoods. INTERVAL NOTE: Interval for P/NE28180 is 10YRS Interval for P/N802300-14 is 10YRS Interval for P/NMR-100 SERIES is 10YRS Interval for P/N119003-11 is 10YRS</t>
  </si>
  <si>
    <t>25-410-00-01</t>
  </si>
  <si>
    <t>25-64-00-900-807</t>
  </si>
  <si>
    <t>[BBJ TASK 26-210-00-01] / [AMM 26-22-02-000-801 &amp; 26-22-02-400-801] 1.1 VENREC ALL Replace APU fire bottle squib. INTERVAL NOTE: Interval is 10YRS</t>
  </si>
  <si>
    <t>26-210-00-01</t>
  </si>
  <si>
    <t>26-22-02-000-801 &amp; 26-22-02-400-801</t>
  </si>
  <si>
    <t>[BBJ TASK 26-270-00-01] / [AMM 26-22-01-000-801 &amp; 26-22-01-400-801] 1.1 VENREC ALL Replace the APU fire bottle over pressure relief disc (off-aircraft). INTERVAL NOTE: Interval for P/N33440018-7 is 10YRS.</t>
  </si>
  <si>
    <t>26-270-00-01</t>
  </si>
  <si>
    <t>26-22-01-000-801 &amp; 26-22-01-400-801</t>
  </si>
  <si>
    <t>[BBJ TASK 26-330-00-01] / [AMM 26-23-02-000-801 &amp; 26-23-02-400-801] 1.1 VENREC ALL Replace cargo fire bottle squib. INTERVAL NOTE: Interval is 10YRS ACCESS NOTE: Removal of airconditioning ducting and fwd aux tank may be required.</t>
  </si>
  <si>
    <t>26-330-00-01</t>
  </si>
  <si>
    <t>26-23-02-000-801 &amp; 26-23-02-400-801</t>
  </si>
  <si>
    <t>[BBJ TASK 26-330-00-02] / [AMM 26-23-02-000-802-001 &amp; 26-23-02-400-802-001] 1.1 VENREC ALL Replace cargo fire bottle squib. INTERVAL NOTE: Interval is 10YRS ACCESS NOTE: Removal of airconditioning ducting and fwd aux tank may be required.</t>
  </si>
  <si>
    <t>26-330-00-02</t>
  </si>
  <si>
    <t>26-23-02-000-802-001 &amp; 26-23-02-400-802-001</t>
  </si>
  <si>
    <t>[BBJ TASK 28-070-00-01] / [AMM 28-25-05-790-801] 10YR ALL Functionally (pressure decay) check the APU fuel line shroud.</t>
  </si>
  <si>
    <t>28-070-00-01</t>
  </si>
  <si>
    <t>28-25-05-790-801</t>
  </si>
  <si>
    <t>[BBJ TASK 28-090-00-01] / [AMM 28-22-00-200-802] 10YR  ALL Perform a detailed inspection of the out of tank wire bundles installed on specified brackets that are mounted directly on the fuel tanks. SPECIAL NOTE: This task accomplishes the intent of Airworthiness Limitationins truction task 28-AWL-29.AWL task(28-AWL-29) interval for this task is 10YRS. See MPD Section 9. AIRPLANE NOTE: Applicable to airplanes L/N1 to 1691 that have incorporated Boeing SB737-57A1279, L/N1692 to 1754 that have incorporated Boeing SB737-57A1279 or Boeing SB737-28-1312, and L/N 1755 and on.</t>
  </si>
  <si>
    <t>28-090-00-01</t>
  </si>
  <si>
    <t>28-22-00-200-802</t>
  </si>
  <si>
    <t>[BBJ TASK 28-140-00-01] / [AMM 28-00-00-280-801] 1.1 10YR ALL Inspect(detailed) in-tank tubing  and equipment static ground straps and clamps for condition, security and other degradation.(SFAR88) INTERVAL NOTE: Perform concurrently with other tank inspections to minimize tank entries and possible accidental damage.</t>
  </si>
  <si>
    <t>28-140-00-01</t>
  </si>
  <si>
    <t>28-00-00-280-801</t>
  </si>
  <si>
    <t>[BBJ TASK 28-140-00-02] / [AMM 28-00-00-280-801] 1.1 10YR ALL Inspect(detailed) in-tank tubing and equipment static ground straps and clamps for condition, security and other degradation.(SFAR88) INTERVAL NOTE: Perform concurrently with other tank inspections to minimize tank entries and possible accidental damage.</t>
  </si>
  <si>
    <t>28-140-00-02</t>
  </si>
  <si>
    <t>[BBJ TASK 28-140-00-03] / [AMM 28-00-00-280-803] 1.1 10YR ALL Inspect(detailed) in-tank tubing and equipment static ground straps and clamps for condition, security and other degradation.(SFAR88) INTERVAL NOTE: Perform concurrently with other tank inspections to minimize tank entries and possible accidental damage.</t>
  </si>
  <si>
    <t>28-140-00-03</t>
  </si>
  <si>
    <t>28-00-00-280-803</t>
  </si>
  <si>
    <t>[BBJ TASK 28-170-00-01] / [AMM 20-60-03-100-801 &amp; 28-41-44-280-801] 1.1 10YR ALL Inspect(detailed) the in-tank FQIS exposed Electrical Wiring Inter connection System(EWIS) and EWIS support for damage, adequate separation with structure and proper security.(SFAR88)(EZAP) INTERVALNOTE: Perform task concurrently with other fuel tank inspection tasks to minimize tank entries and possible accidental damage.</t>
  </si>
  <si>
    <t>28-170-00-01</t>
  </si>
  <si>
    <t xml:space="preserve"> 20-60-03-100-801 &amp; 28-41-44-280-801</t>
  </si>
  <si>
    <t>[BBJ TASK 28-170-00-02] / [AMM 20-60-03-100-801 &amp; 28-41-44-280-802]  10YR ALL Inspect(detailed) thein-tank FQIS exposed Electrical Wiring Interconnection System(EWIS) and EWIS support for damage, adequate separation with structure and proper security. (SFAR88)(EZAP) INTERVAL NOTE: Perform task concurrently with other fuel tank inspection tasks to minimize tank entries and possible accidental damage.</t>
  </si>
  <si>
    <t xml:space="preserve"> 28-170-00-02</t>
  </si>
  <si>
    <t xml:space="preserve"> 20-60-03-100-801 &amp; 28-41-44-280-802</t>
  </si>
  <si>
    <t>[BBJ TASK 28-170-00-03] / [AMM 20-60-03-100-801 &amp; 28-41-44-280-803]  10YR ALL Inspect(detailed) thein-tank FQIS exposed Electrical Wiring Interconnection System (EWIS) and EWIS support for damage, adequate separation with structure and proper security. (SFAR88)(EZAP) INTERVALNOTE: Perform task concurrently with other fuel tank inspection tasks to minimize tank entries and possible accidental damage.</t>
  </si>
  <si>
    <t>28-170-00-03</t>
  </si>
  <si>
    <t>20-60-03-100-801 &amp; 28-41-44-280-803</t>
  </si>
  <si>
    <t>[BBJ TASK 28-171-00-01] / [AMM 28-41-44-280-801]  10YR ALL Inspect(detailed) thein-tank FQIS components for chaffing ,rubbing, adequate separation from structure and condition for security.(SFAR88)</t>
  </si>
  <si>
    <t>28-171-00-01</t>
  </si>
  <si>
    <t>28-41-44-280-801</t>
  </si>
  <si>
    <t>[BBJ TASK 28-171-00-02] / [AMM 28-41-44-280-802] 10YR ALL Inspect(detailed) thein-tank FQIS components for chaffing, rubbing, adequate separation from structure and condition for security.(SFAR88)</t>
  </si>
  <si>
    <t>28-171-00-02</t>
  </si>
  <si>
    <t>28-41-44-280-802</t>
  </si>
  <si>
    <t>[BBJ TASK 28-171-00-03] / [AMM 28-41-44-280-803] 1.1 10YR ALL Inspect(detailed) thein-tank FQIS components for chaffing, rubbing, adequate separation from structure and condition for security.(SFAR88)</t>
  </si>
  <si>
    <t>28-171-00-03</t>
  </si>
  <si>
    <t>28-41-44-280-803</t>
  </si>
  <si>
    <t>[BBJ TASK 28-172-00-01] / [ AMM 28-41-44-210-801]  10YR ALL Inspect(detailed) the in-tank FQIS components and wiring inside the Center Fuel Tank for damage, clearance between wires and with structure, gap between in-tank units and compensator with the structure, missing in-tank unitend caps, and proper security of components. SPECIAL NOTE: AWL task(28-AWL-35) interval for this task is 10YR. SeeSCI/AWL Document D626A001-9-04. AIRPLANE NOTE: Airplanes that have incorporated Service Bulletin 737-28-1356. INTERVAL NOTE: Perform task concurrently with other fuel tank inspection tasks to minimize tank entries and possible accidental damage.</t>
  </si>
  <si>
    <t>28-172-00-01</t>
  </si>
  <si>
    <t>28-41-44-210-801</t>
  </si>
  <si>
    <t>[BBJ TASK 28-173-00-01] / [AMM 05-55-54-200-801] 10YR ALL Functionally check(resistance measurement) out tank FQIS wire bundle lightning shield to ground termination.(SFAR88) SPECIAL NOTE: AWL task(28-AWL-03) interval for this task is 10YR. See SCI/AWL Document D626A001-9-04.</t>
  </si>
  <si>
    <t>28-173-00-01</t>
  </si>
  <si>
    <t>05-55-54-200-801</t>
  </si>
  <si>
    <t>[BBJ TASK 28-200-00-01] / [AMM 28-11-00-211-801] 10YR ALL Perform a detailed inspection of the wire bundles routed on the maindeck over the center fuel tank and under the main deck floor boards. SPECIAL NOTE: AWL task (28-AWL-01) interval for this task is 10YR. See SCI/AWL Document D626A001-9-04.</t>
  </si>
  <si>
    <t>28-200-00-01</t>
  </si>
  <si>
    <t>28-11-00-211-801</t>
  </si>
  <si>
    <t>BBJ 1600FC Inspection</t>
  </si>
  <si>
    <t>[BBJ TASK 29-180-00-01] / [AMM 29-18-11-000-802 &amp; 29-18-11-400-802]  16000FH ALL Replace the ground hydraulic reservoir fill filter.</t>
  </si>
  <si>
    <t>29-180-00-01</t>
  </si>
  <si>
    <t>29-18-11-000-802 &amp; 29-18-11-400-802</t>
  </si>
  <si>
    <t>BBJ Ven Rec Inspection</t>
  </si>
  <si>
    <t>[BBJ TASK 23-070-00-01] / [AMM 23-71-21-000-801, 23-71-21-400-801, 23-71-21-960-801, 23-71-21-960-802 &amp; 23-71-21-960-804] 1.1 VENREC ALL Discard Under water Locator Beacon(ULB) Battery. INTERVAL NOTE: Interval for P/N810-418A is 2YRS Interval for P/NB362-04016A is 2YRS Interval for P/NDK-100 is 6YRS Interval for P/NDK-120 is 6YRS Interval for P/NDK-120/90 is 7YRS Interval for P/NB362-04270 is 7YRS</t>
  </si>
  <si>
    <t>23-070-00-01</t>
  </si>
  <si>
    <t>23-71-21-000-801, 23-71-21-400-801, 23-71-21-960-801, 23-71-21-960-802 &amp; 23-71-21-960-804</t>
  </si>
  <si>
    <t>[BBJ TASK 23-110-00-01] / [AMM 23-24-00-900-801-001]  VENREC Discard the Emergency Locator Transmitter(Automatic/Fixed Type) Battery. AIRPLANE NOTE: If Installed. INTERVAL NOTE: Refer to battery expiration label.</t>
  </si>
  <si>
    <t>23-110-00-01</t>
  </si>
  <si>
    <t>23-24-00-900-801-001</t>
  </si>
  <si>
    <t>[BBJ TASK 23-110-00-02] / [AMM 23-24-00-000-802-002 &amp; 23-24-00-400-802-002] VENREC ALL Discard the Emergency Locator Transmitter (Automatic/FixedType) Battery. AIRPLANENOTE: If Installed. INTERVALNOTE: Refer to battery expiration label.</t>
  </si>
  <si>
    <t>23-110-00-02</t>
  </si>
  <si>
    <t>23-24-00-000-802-002 &amp; 23-24-00-400-802-002</t>
  </si>
  <si>
    <t>[BBJ TASK 25-240-00-01] / [AMM 25-66-01-000-801 25-66-01-000-802 25-66-01-400-801 25-66-01-400-803 1.1 VENREC ALL ALL Restore the fwd entry emergency escape slide at the manufacturer's recommended interval. INTERVAL NOTE: Interval for P/N5A3307-7 and 5A3307-701 is 3YRS. Interval for 5A3307-9 is 5YRS up to 19 years</t>
  </si>
  <si>
    <t>25-240-00-01</t>
  </si>
  <si>
    <t>25-66-01-000-801 25-66-01-000-802 25-66-01-400-801 25-66-01-400-803</t>
  </si>
  <si>
    <t>[BBJ TASK 25-240-00-02] / [AMM 25-66-01-000-801, 25-66-01-000-802, 25-66-01-400-801 &amp; 25-66-01-400-803] VEN REC ALL Restore the fwd galley emergency escape slide at the manufacturer's recommended interval. INTERVAL NOTE: Interval for P/N5A3307-7 and 5A3307-701 is 3YRS. Interval for 5A3307-9 is 5YRS up to 19 years</t>
  </si>
  <si>
    <t>25-240-00-02</t>
  </si>
  <si>
    <t>25-66-01-000-801, 25-66-01-000-802, 25-66-01-400-801 &amp; 25-66-01-400-803</t>
  </si>
  <si>
    <t>[BBJ TASK 25-240-00-03] / [AMM 25-66-01-000-801, 25-66-01-000-802, 25-66-01-400-801 &amp; 25-66-01-400-803] VEN REC ALL Restore the aft entry emergency escape slide at the manufacturer's recommended interval. INTERVAL NOTE: Interval for P/N5A3307-7 and 5A3307-701 is 3YRS. Interval for 5A3307-9 is 5YRS up to 19 years.</t>
  </si>
  <si>
    <t>25-240-00-03</t>
  </si>
  <si>
    <t>[BBJ TASK 25-240-00-04] / [AMM 25-66-01-000-801, 25-66-01-000-802, 25-66-01-400-801 &amp; 25-66-01-400-803] VEN REC ALL Restore the aft galley emergencye scape slide at the manufacturer's recommended interval. INTERVAL NOTE: Interval forP/N5A3307-7and 5A3307-701 is 3YRS. Interval for 5A3307-9 is 5YRS up to 19 years.</t>
  </si>
  <si>
    <t>25-240-00-04</t>
  </si>
  <si>
    <t>[BBJ TASK 25-350-00-01] / [AMM 25-64-00-000-801 &amp; 25-64-00-400-801] VEN REC ALL Operationally check the Emergency Locator Transmitter (Survival /Portable Type).  AIRPLANE NOTE: If Installed. INTERVAL NOTE: At vendor recommendation.</t>
  </si>
  <si>
    <t>25-350-00-01</t>
  </si>
  <si>
    <t>25-64-00-000-801 &amp; 25-64-00-400-801</t>
  </si>
  <si>
    <t>[BBJ TASK 25-360-00-01] / [AMM 25-64-00-000-801 &amp; 25-64-00-400-801]  VEN REC ALL Discard the Emergency Locator Transmitter (Survival /Portable Type) batteries. AIRPLANE NOTE: If Installed. Applicable to non-dry cell type ELT's only. INTERVAL NOTE: At vendor recommendation.</t>
  </si>
  <si>
    <t>25-360-00-01</t>
  </si>
  <si>
    <t xml:space="preserve"> 25-64-00-000-801 &amp; 25-64-00-400-801</t>
  </si>
  <si>
    <t>[BBJ TASK 25-390-00-01] / [AMM 25-64-00-900-806] VEN REC ALL Replace the emergency flashlight batteries. AIRPLANE NOTE: Applicable to airplanes with non-rechargeable flash light batteries. INTERVAL NOTE: Interval for Model EF-1 is 2.4YRS</t>
  </si>
  <si>
    <t>25-390-00-01</t>
  </si>
  <si>
    <t>25-64-00-900-806</t>
  </si>
  <si>
    <t>[BBJ TASK 25-395-00-01] / [AMM 25-64-00-900-811]  VENREC ALL Restore the emergency flashlight batteries. AIRPLANE NOTE: Applicable to airplanes with rechargeable flashlight batteries. INTERVAL NOTE: At vendor recommendation.</t>
  </si>
  <si>
    <t>25-395-00-01</t>
  </si>
  <si>
    <t>25-64-00-900-811</t>
  </si>
  <si>
    <t>[BBJ TASK 31-150-00-01] / [AMM 31-31-09-000-801, 31-31-09-400-801 ,31-31-09-960-801, 31-31-09-960-802 &amp; 31-31-09-960-805] VEN REC ALL Replace ULB battery. INTERVAL NOTE: For P/N DK100 refer to battery expiration label For P/NDK120 refer to battery expiration label Interval for P/NDK-120/90 is 7YRS Interval for P/NELP3620 is 7YRS ACCESS NOTE: FDR Hinged Ceiling Panel.</t>
  </si>
  <si>
    <t>31-150-00-01</t>
  </si>
  <si>
    <t>31-31-09-000-801, 31-31-09-400-801 ,31-31-09-960-801, 31-31-09-960-802 &amp; 31-31-09-960-805</t>
  </si>
  <si>
    <t>HYDRAULIC LEAKAGE ON THE R/H LEADING EDGE  AROUND SPAR VALVE PANEL</t>
  </si>
  <si>
    <t>MECH</t>
  </si>
  <si>
    <t>WIFI WORKING INTERMITTENTLY EVEN AFTER MULTIPLE RESETS</t>
  </si>
  <si>
    <t>UNABLE TO MAKE CALLS FROM GROUND TO A/C SATAPHONE</t>
  </si>
  <si>
    <t>HYDRAULIC LEAKAGEON THE REAR BULKHEAD OF THE WHEEL WELL, SUSPECTS FUSES, MASTERING VALVE &amp; FLAP UNIT</t>
  </si>
  <si>
    <t>AIRSHOW WORKING INTERMITTENTLY</t>
  </si>
  <si>
    <t>HUMIDITY REGULATION GLASS DECK PAD FOR HUMIDIFIER SYSTEM (AS PER OMM, CHAP 05-10-00, CHAP 21-70)</t>
  </si>
  <si>
    <t>HUMIDITY REGULATOR-ZONAL DRYING SYSTEM</t>
  </si>
  <si>
    <t>ULB TO BE ROBBED ON CVR ZS-RSA TO ZS-CAQ CVR.</t>
  </si>
  <si>
    <t>PILOT SIDE FWD SIDE WINDOW INTERMITTENTLY DEFLECTS OVERHEATING</t>
  </si>
  <si>
    <t>Open Items</t>
  </si>
  <si>
    <t>Pending Final Issue</t>
  </si>
  <si>
    <t>Closed Items</t>
  </si>
  <si>
    <t>Total Items</t>
  </si>
  <si>
    <t>JOB CARDS</t>
  </si>
  <si>
    <t>ZS-RSA-C3-SEQ-3489 -ALL JOB CARD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</si>
</sst>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b/>
      <sz val="28"/>
      <color theme="1"/>
      <name val="Calibri"/>
      <family val="2"/>
      <scheme val="minor"/>
    </font>
    <font>
      <b/>
      <sz val="16"/>
      <color theme="1"/>
      <name val="Calibri"/>
      <family val="2"/>
      <scheme val="minor"/>
    </font>
    <font>
      <b/>
      <sz val="16"/>
      <name val="Segoe UI"/>
      <family val="2"/>
    </font>
    <font>
      <sz val="16"/>
      <color theme="1"/>
      <name val="Calibri"/>
      <family val="2"/>
      <scheme val="minor"/>
    </font>
    <font>
      <b/>
      <sz val="14"/>
      <color theme="1"/>
      <name val="Arial"/>
      <family val="2"/>
    </font>
    <font>
      <sz val="14"/>
      <color theme="1"/>
      <name val="Arial"/>
      <family val="2"/>
    </font>
    <font>
      <b/>
      <sz val="14"/>
      <name val="Arial"/>
      <family val="2"/>
    </font>
    <font>
      <sz val="14"/>
      <color rgb="FF000000"/>
      <name val="Arial"/>
      <family val="2"/>
    </font>
    <font>
      <b/>
      <u/>
      <sz val="14"/>
      <color theme="1"/>
      <name val="Arial"/>
      <family val="2"/>
    </font>
    <font>
      <sz val="14"/>
      <color theme="8" tint="-0.249977111117893"/>
      <name val="Arial"/>
      <family val="2"/>
    </font>
    <font>
      <sz val="14"/>
      <color theme="9" tint="0.39997558519241921"/>
      <name val="Arial"/>
      <family val="2"/>
    </font>
    <font>
      <sz val="14"/>
      <color rgb="FFFF0000"/>
      <name val="Arial"/>
      <family val="2"/>
    </font>
    <font>
      <sz val="18"/>
      <color theme="1"/>
      <name val="Arial"/>
      <family val="2"/>
    </font>
    <font>
      <sz val="18"/>
      <color rgb="FFB6D7A8"/>
      <name val="Arial"/>
      <family val="2"/>
    </font>
  </fonts>
  <fills count="29">
    <fill>
      <patternFill patternType="none"/>
    </fill>
    <fill>
      <patternFill patternType="gray125"/>
    </fill>
    <fill>
      <patternFill patternType="solid">
        <fgColor rgb="FFF6FAFB"/>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3" tint="0.59999389629810485"/>
        <bgColor indexed="64"/>
      </patternFill>
    </fill>
    <fill>
      <patternFill patternType="solid">
        <fgColor rgb="FF92D050"/>
        <bgColor indexed="64"/>
      </patternFill>
    </fill>
    <fill>
      <patternFill patternType="solid">
        <fgColor theme="7" tint="0.59999389629810485"/>
        <bgColor indexed="64"/>
      </patternFill>
    </fill>
    <fill>
      <patternFill patternType="solid">
        <fgColor theme="1" tint="0.499984740745262"/>
        <bgColor indexed="64"/>
      </patternFill>
    </fill>
    <fill>
      <patternFill patternType="solid">
        <fgColor rgb="FFAEAAAA"/>
        <bgColor indexed="64"/>
      </patternFill>
    </fill>
    <fill>
      <patternFill patternType="solid">
        <fgColor theme="0"/>
        <bgColor indexed="64"/>
      </patternFill>
    </fill>
    <fill>
      <patternFill patternType="solid">
        <fgColor rgb="FF0070C0"/>
        <bgColor indexed="64"/>
      </patternFill>
    </fill>
    <fill>
      <patternFill patternType="solid">
        <fgColor theme="4"/>
        <bgColor indexed="64"/>
      </patternFill>
    </fill>
    <fill>
      <patternFill patternType="solid">
        <fgColor theme="5" tint="0.59999389629810485"/>
        <bgColor indexed="64"/>
      </patternFill>
    </fill>
    <fill>
      <patternFill patternType="solid">
        <fgColor rgb="FFFFCCCC"/>
        <bgColor rgb="FF38761D"/>
      </patternFill>
    </fill>
    <fill>
      <patternFill patternType="solid">
        <fgColor rgb="FF38761D"/>
        <bgColor rgb="FF38761D"/>
      </patternFill>
    </fill>
    <fill>
      <patternFill patternType="solid">
        <fgColor rgb="FFFFFF00"/>
        <bgColor rgb="FF38761D"/>
      </patternFill>
    </fill>
    <fill>
      <patternFill patternType="solid">
        <fgColor theme="0" tint="-0.34998626667073579"/>
        <bgColor rgb="FF38761D"/>
      </patternFill>
    </fill>
    <fill>
      <patternFill patternType="solid">
        <fgColor theme="1" tint="0.34998626667073579"/>
        <bgColor rgb="FF38761D"/>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06">
    <xf numFmtId="0" fontId="0" fillId="0" borderId="0" xfId="0"/>
    <xf numFmtId="0" fontId="3" fillId="0" borderId="4" xfId="0" applyFont="1" applyBorder="1" applyAlignment="1">
      <alignment horizontal="left" vertical="center"/>
    </xf>
    <xf numFmtId="0" fontId="3" fillId="0" borderId="4" xfId="0" applyFont="1" applyBorder="1" applyAlignment="1">
      <alignment horizontal="center" vertical="center" wrapText="1"/>
    </xf>
    <xf numFmtId="0" fontId="4" fillId="2" borderId="4" xfId="0" applyFont="1"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wrapText="1"/>
    </xf>
    <xf numFmtId="0" fontId="5" fillId="0" borderId="0" xfId="0" applyFont="1"/>
    <xf numFmtId="0" fontId="6" fillId="0" borderId="6" xfId="0" applyFont="1" applyBorder="1" applyAlignment="1">
      <alignment horizontal="left" vertical="center"/>
    </xf>
    <xf numFmtId="0" fontId="8" fillId="2" borderId="6" xfId="0" applyFont="1" applyFill="1" applyBorder="1" applyAlignment="1">
      <alignment horizontal="center" vertical="center"/>
    </xf>
    <xf numFmtId="0" fontId="6" fillId="0" borderId="6" xfId="0" applyFont="1" applyBorder="1" applyAlignment="1">
      <alignment horizontal="center" vertical="center"/>
    </xf>
    <xf numFmtId="0" fontId="7" fillId="0" borderId="6" xfId="0" applyFont="1" applyBorder="1"/>
    <xf numFmtId="0" fontId="9" fillId="0" borderId="6" xfId="0" applyFont="1" applyBorder="1" applyAlignment="1">
      <alignment horizontal="center" vertical="center"/>
    </xf>
    <xf numFmtId="0" fontId="7" fillId="0" borderId="6" xfId="0" applyFont="1" applyBorder="1" applyAlignment="1">
      <alignment wrapText="1"/>
    </xf>
    <xf numFmtId="0" fontId="7" fillId="0" borderId="0" xfId="0" applyFont="1"/>
    <xf numFmtId="0" fontId="7" fillId="3" borderId="6" xfId="0" applyFont="1" applyFill="1" applyBorder="1" applyAlignment="1">
      <alignment horizontal="left"/>
    </xf>
    <xf numFmtId="0" fontId="6" fillId="3" borderId="6" xfId="0" applyFont="1" applyFill="1" applyBorder="1" applyAlignment="1">
      <alignment wrapText="1"/>
    </xf>
    <xf numFmtId="0" fontId="6" fillId="3" borderId="6" xfId="0" applyFont="1" applyFill="1" applyBorder="1"/>
    <xf numFmtId="0" fontId="7" fillId="3" borderId="6" xfId="0" applyFont="1" applyFill="1" applyBorder="1"/>
    <xf numFmtId="0" fontId="7" fillId="3" borderId="6" xfId="0" applyFont="1" applyFill="1" applyBorder="1" applyAlignment="1">
      <alignment wrapText="1"/>
    </xf>
    <xf numFmtId="0" fontId="7" fillId="3" borderId="0" xfId="0" applyFont="1" applyFill="1"/>
    <xf numFmtId="0" fontId="7" fillId="0" borderId="6" xfId="0" applyFont="1" applyBorder="1" applyAlignment="1">
      <alignment horizontal="left" wrapText="1"/>
    </xf>
    <xf numFmtId="15" fontId="7" fillId="0" borderId="6" xfId="0" applyNumberFormat="1" applyFont="1" applyBorder="1"/>
    <xf numFmtId="0" fontId="7" fillId="3" borderId="6" xfId="0" applyFont="1" applyFill="1" applyBorder="1" applyAlignment="1">
      <alignment horizontal="left" wrapText="1"/>
    </xf>
    <xf numFmtId="0" fontId="7" fillId="11" borderId="6" xfId="0" applyFont="1" applyFill="1" applyBorder="1" applyAlignment="1">
      <alignment wrapText="1"/>
    </xf>
    <xf numFmtId="0" fontId="7" fillId="12" borderId="6" xfId="0" applyFont="1" applyFill="1" applyBorder="1"/>
    <xf numFmtId="0" fontId="7" fillId="13" borderId="6" xfId="0" applyFont="1" applyFill="1" applyBorder="1"/>
    <xf numFmtId="0" fontId="7" fillId="0" borderId="6" xfId="0" applyFont="1" applyBorder="1" applyAlignment="1">
      <alignment horizontal="left" vertical="top"/>
    </xf>
    <xf numFmtId="0" fontId="7" fillId="3" borderId="6" xfId="0" applyFont="1" applyFill="1" applyBorder="1" applyAlignment="1">
      <alignment horizontal="left" vertical="top"/>
    </xf>
    <xf numFmtId="0" fontId="10" fillId="3" borderId="6" xfId="0" applyFont="1" applyFill="1" applyBorder="1" applyAlignment="1">
      <alignment wrapText="1"/>
    </xf>
    <xf numFmtId="0" fontId="7" fillId="6" borderId="6" xfId="0" applyFont="1" applyFill="1" applyBorder="1"/>
    <xf numFmtId="0" fontId="7" fillId="11" borderId="6" xfId="0" applyFont="1" applyFill="1" applyBorder="1" applyAlignment="1">
      <alignment vertical="center" wrapText="1"/>
    </xf>
    <xf numFmtId="0" fontId="6" fillId="3" borderId="6" xfId="0" applyFont="1" applyFill="1" applyBorder="1" applyAlignment="1">
      <alignment horizontal="left" vertical="top"/>
    </xf>
    <xf numFmtId="0" fontId="6" fillId="3" borderId="6" xfId="0" applyFont="1" applyFill="1" applyBorder="1" applyAlignment="1">
      <alignment vertical="center" wrapText="1"/>
    </xf>
    <xf numFmtId="0" fontId="6" fillId="3" borderId="0" xfId="0" applyFont="1" applyFill="1"/>
    <xf numFmtId="0" fontId="7" fillId="0" borderId="6" xfId="0" applyFont="1" applyBorder="1" applyAlignment="1">
      <alignment vertical="center" wrapText="1"/>
    </xf>
    <xf numFmtId="0" fontId="7" fillId="0" borderId="6" xfId="0" applyFont="1" applyBorder="1" applyAlignment="1">
      <alignment horizontal="left"/>
    </xf>
    <xf numFmtId="0" fontId="7" fillId="0" borderId="6" xfId="0" applyFont="1" applyBorder="1" applyAlignment="1">
      <alignment horizontal="left" vertical="center" wrapText="1"/>
    </xf>
    <xf numFmtId="0" fontId="6" fillId="3" borderId="6" xfId="0" applyFont="1" applyFill="1" applyBorder="1" applyAlignment="1">
      <alignment horizontal="left" vertical="top" wrapText="1"/>
    </xf>
    <xf numFmtId="0" fontId="6" fillId="19" borderId="6" xfId="0" applyFont="1" applyFill="1" applyBorder="1" applyAlignment="1">
      <alignment horizontal="left" vertical="top" wrapText="1"/>
    </xf>
    <xf numFmtId="0" fontId="7" fillId="0" borderId="6" xfId="0" applyFont="1" applyBorder="1" applyAlignment="1">
      <alignment horizontal="left" vertical="top" wrapText="1"/>
    </xf>
    <xf numFmtId="0" fontId="7" fillId="20" borderId="6" xfId="0" applyFont="1" applyFill="1" applyBorder="1" applyAlignment="1">
      <alignment horizontal="left"/>
    </xf>
    <xf numFmtId="0" fontId="7" fillId="20" borderId="6" xfId="0" applyFont="1" applyFill="1" applyBorder="1" applyAlignment="1">
      <alignment horizontal="center" vertical="center" wrapText="1"/>
    </xf>
    <xf numFmtId="0" fontId="7" fillId="20" borderId="6" xfId="0" applyFont="1" applyFill="1" applyBorder="1"/>
    <xf numFmtId="0" fontId="7" fillId="20" borderId="0" xfId="0" applyFont="1" applyFill="1"/>
    <xf numFmtId="15" fontId="7" fillId="20" borderId="6" xfId="0" applyNumberFormat="1" applyFont="1" applyFill="1" applyBorder="1"/>
    <xf numFmtId="0" fontId="6" fillId="0" borderId="6" xfId="0" applyFont="1" applyBorder="1" applyAlignment="1">
      <alignment horizontal="left" vertical="top" wrapText="1"/>
    </xf>
    <xf numFmtId="1" fontId="7" fillId="0" borderId="6" xfId="0" applyNumberFormat="1" applyFont="1" applyBorder="1" applyAlignment="1">
      <alignment horizontal="left"/>
    </xf>
    <xf numFmtId="0" fontId="7" fillId="0" borderId="6" xfId="1" applyFont="1" applyFill="1" applyBorder="1" applyAlignment="1">
      <alignment horizontal="left" vertical="top" wrapText="1"/>
    </xf>
    <xf numFmtId="0" fontId="7" fillId="0" borderId="6" xfId="0" applyFont="1" applyBorder="1" applyAlignment="1">
      <alignment vertical="top" wrapText="1"/>
    </xf>
    <xf numFmtId="16" fontId="7" fillId="0" borderId="6" xfId="0" applyNumberFormat="1" applyFont="1" applyBorder="1"/>
    <xf numFmtId="0" fontId="7" fillId="21" borderId="6" xfId="0" applyFont="1" applyFill="1" applyBorder="1" applyAlignment="1">
      <alignment horizontal="left"/>
    </xf>
    <xf numFmtId="0" fontId="6" fillId="21" borderId="6" xfId="0" applyFont="1" applyFill="1" applyBorder="1"/>
    <xf numFmtId="0" fontId="7" fillId="9" borderId="6" xfId="0" applyFont="1" applyFill="1" applyBorder="1"/>
    <xf numFmtId="0" fontId="7" fillId="21" borderId="6" xfId="0" applyFont="1" applyFill="1" applyBorder="1"/>
    <xf numFmtId="0" fontId="7" fillId="15" borderId="6" xfId="0" applyFont="1" applyFill="1" applyBorder="1"/>
    <xf numFmtId="0" fontId="7" fillId="21" borderId="0" xfId="0" applyFont="1" applyFill="1"/>
    <xf numFmtId="0" fontId="7" fillId="22" borderId="6" xfId="0" applyFont="1" applyFill="1" applyBorder="1" applyAlignment="1">
      <alignment horizontal="left"/>
    </xf>
    <xf numFmtId="0" fontId="6" fillId="22" borderId="6" xfId="0" applyFont="1" applyFill="1" applyBorder="1" applyAlignment="1">
      <alignment wrapText="1"/>
    </xf>
    <xf numFmtId="0" fontId="7" fillId="22" borderId="6" xfId="0" applyFont="1" applyFill="1" applyBorder="1"/>
    <xf numFmtId="0" fontId="11" fillId="12" borderId="6" xfId="0" applyFont="1" applyFill="1" applyBorder="1"/>
    <xf numFmtId="0" fontId="11" fillId="0" borderId="6" xfId="0" applyFont="1" applyBorder="1"/>
    <xf numFmtId="0" fontId="11" fillId="23" borderId="6" xfId="0" applyFont="1" applyFill="1" applyBorder="1"/>
    <xf numFmtId="0" fontId="11" fillId="0" borderId="0" xfId="0" applyFont="1"/>
    <xf numFmtId="0" fontId="7" fillId="22" borderId="6" xfId="0" applyFont="1" applyFill="1" applyBorder="1" applyAlignment="1">
      <alignment horizontal="left" indent="1"/>
    </xf>
    <xf numFmtId="0" fontId="7" fillId="23" borderId="6" xfId="0" applyFont="1" applyFill="1" applyBorder="1"/>
    <xf numFmtId="0" fontId="12" fillId="12" borderId="6" xfId="0" applyFont="1" applyFill="1" applyBorder="1"/>
    <xf numFmtId="0" fontId="12" fillId="0" borderId="6" xfId="0" applyFont="1" applyBorder="1"/>
    <xf numFmtId="0" fontId="12" fillId="0" borderId="0" xfId="0" applyFont="1"/>
    <xf numFmtId="0" fontId="11" fillId="0" borderId="6" xfId="0" applyFont="1" applyBorder="1" applyAlignment="1">
      <alignment wrapText="1"/>
    </xf>
    <xf numFmtId="0" fontId="13" fillId="12" borderId="6" xfId="0" applyFont="1" applyFill="1" applyBorder="1"/>
    <xf numFmtId="0" fontId="13" fillId="0" borderId="6" xfId="0" applyFont="1" applyBorder="1"/>
    <xf numFmtId="0" fontId="13" fillId="23" borderId="6" xfId="0" applyFont="1" applyFill="1" applyBorder="1"/>
    <xf numFmtId="0" fontId="13" fillId="0" borderId="0" xfId="0" applyFont="1"/>
    <xf numFmtId="0" fontId="7" fillId="0" borderId="6" xfId="0" applyFont="1" applyBorder="1" applyAlignment="1">
      <alignment horizontal="center" vertical="center"/>
    </xf>
    <xf numFmtId="0" fontId="7" fillId="22" borderId="6" xfId="0" applyFont="1" applyFill="1" applyBorder="1" applyAlignment="1">
      <alignment wrapText="1"/>
    </xf>
    <xf numFmtId="0" fontId="0" fillId="0" borderId="0" xfId="0" applyAlignment="1">
      <alignment horizontal="left"/>
    </xf>
    <xf numFmtId="0" fontId="0" fillId="0" borderId="0" xfId="0" applyAlignment="1">
      <alignment wrapText="1"/>
    </xf>
    <xf numFmtId="0" fontId="14" fillId="24" borderId="7" xfId="0" applyFont="1" applyFill="1" applyBorder="1" applyAlignment="1">
      <alignment wrapText="1"/>
    </xf>
    <xf numFmtId="0" fontId="15" fillId="25" borderId="7" xfId="0" applyFont="1" applyFill="1" applyBorder="1"/>
    <xf numFmtId="0" fontId="14" fillId="0" borderId="7" xfId="0" applyFont="1" applyBorder="1" applyAlignment="1">
      <alignment horizontal="center" vertical="center"/>
    </xf>
    <xf numFmtId="0" fontId="14" fillId="26" borderId="7" xfId="0" applyFont="1" applyFill="1" applyBorder="1" applyAlignment="1">
      <alignment wrapText="1"/>
    </xf>
    <xf numFmtId="0" fontId="14" fillId="27" borderId="7" xfId="0" applyFont="1" applyFill="1" applyBorder="1" applyAlignment="1">
      <alignment wrapText="1"/>
    </xf>
    <xf numFmtId="0" fontId="14" fillId="28" borderId="7" xfId="0" applyFont="1" applyFill="1" applyBorder="1" applyAlignment="1">
      <alignment wrapText="1"/>
    </xf>
    <xf numFmtId="0" fontId="7" fillId="12" borderId="6" xfId="0" applyFont="1" applyFill="1" applyBorder="1" applyAlignment="1">
      <alignment horizontal="center"/>
    </xf>
    <xf numFmtId="0" fontId="7" fillId="10" borderId="6" xfId="0" applyFont="1" applyFill="1" applyBorder="1" applyAlignment="1">
      <alignment horizontal="center"/>
    </xf>
    <xf numFmtId="0" fontId="7" fillId="9" borderId="6" xfId="0" applyFont="1" applyFill="1" applyBorder="1" applyAlignment="1">
      <alignment horizontal="center"/>
    </xf>
    <xf numFmtId="0" fontId="7" fillId="7" borderId="6" xfId="0" applyFont="1" applyFill="1" applyBorder="1" applyAlignment="1">
      <alignment horizontal="center"/>
    </xf>
    <xf numFmtId="0" fontId="7" fillId="17" borderId="6" xfId="0" applyFont="1" applyFill="1" applyBorder="1" applyAlignment="1">
      <alignment horizontal="center"/>
    </xf>
    <xf numFmtId="0" fontId="7" fillId="18" borderId="6" xfId="0" applyFont="1" applyFill="1" applyBorder="1" applyAlignment="1">
      <alignment horizontal="center"/>
    </xf>
    <xf numFmtId="0" fontId="7" fillId="14" borderId="6" xfId="0" applyFont="1" applyFill="1" applyBorder="1" applyAlignment="1">
      <alignment horizontal="center"/>
    </xf>
    <xf numFmtId="0" fontId="7" fillId="15" borderId="6" xfId="0" applyFont="1" applyFill="1" applyBorder="1" applyAlignment="1">
      <alignment horizontal="center"/>
    </xf>
    <xf numFmtId="0" fontId="7" fillId="16" borderId="6" xfId="0" applyFont="1" applyFill="1" applyBorder="1" applyAlignment="1">
      <alignment horizontal="center"/>
    </xf>
    <xf numFmtId="0" fontId="7" fillId="13" borderId="6" xfId="0" applyFont="1" applyFill="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7" fillId="4" borderId="6" xfId="0" applyFont="1" applyFill="1" applyBorder="1" applyAlignment="1">
      <alignment horizontal="center"/>
    </xf>
    <xf numFmtId="0" fontId="7" fillId="5" borderId="6" xfId="0" applyFont="1" applyFill="1" applyBorder="1" applyAlignment="1">
      <alignment horizontal="center"/>
    </xf>
    <xf numFmtId="0" fontId="7" fillId="6" borderId="6" xfId="0" applyFont="1" applyFill="1" applyBorder="1" applyAlignment="1">
      <alignment horizontal="center"/>
    </xf>
    <xf numFmtId="0" fontId="7" fillId="8" borderId="6" xfId="0" applyFont="1" applyFill="1" applyBorder="1" applyAlignment="1">
      <alignment horizontal="center"/>
    </xf>
    <xf numFmtId="0" fontId="8" fillId="2" borderId="6" xfId="0" applyFont="1" applyFill="1" applyBorder="1" applyAlignment="1">
      <alignment horizontal="left" vertical="center"/>
    </xf>
    <xf numFmtId="0" fontId="6" fillId="3" borderId="6" xfId="0" applyFont="1" applyFill="1" applyBorder="1" applyAlignment="1">
      <alignment horizontal="left"/>
    </xf>
    <xf numFmtId="0" fontId="11" fillId="0" borderId="6" xfId="0" applyFont="1" applyBorder="1" applyAlignment="1">
      <alignment horizontal="left"/>
    </xf>
    <xf numFmtId="0" fontId="13" fillId="0" borderId="6" xfId="0" applyFont="1" applyBorder="1" applyAlignment="1">
      <alignment horizontal="left"/>
    </xf>
    <xf numFmtId="0" fontId="0" fillId="0" borderId="6" xfId="0" applyBorder="1"/>
  </cellXfs>
  <cellStyles count="2">
    <cellStyle name="Hyperlink" xfId="1" builtinId="8"/>
    <cellStyle name="Normal" xfId="0" builtinId="0"/>
  </cellStyles>
  <dxfs count="69">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DBF132"/>
          <bgColor rgb="FFDBF132"/>
        </patternFill>
      </fill>
    </dxf>
    <dxf>
      <fill>
        <patternFill patternType="solid">
          <fgColor theme="6"/>
          <bgColor theme="6"/>
        </patternFill>
      </fill>
    </dxf>
    <dxf>
      <fill>
        <patternFill patternType="solid">
          <fgColor rgb="FFF4CCCC"/>
          <bgColor rgb="FFF4CCCC"/>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F4CCCC"/>
          <bgColor rgb="FFF4CCCC"/>
        </patternFill>
      </fill>
    </dxf>
    <dxf>
      <fill>
        <patternFill patternType="solid">
          <fgColor theme="6"/>
          <bgColor theme="6"/>
        </patternFill>
      </fill>
    </dxf>
    <dxf>
      <fill>
        <patternFill patternType="solid">
          <fgColor rgb="FFDBF132"/>
          <bgColor rgb="FFDBF132"/>
        </patternFill>
      </fill>
    </dxf>
    <dxf>
      <fill>
        <patternFill patternType="solid">
          <fgColor rgb="FFDBF132"/>
          <bgColor rgb="FFDBF132"/>
        </patternFill>
      </fill>
    </dxf>
    <dxf>
      <fill>
        <patternFill patternType="solid">
          <fgColor theme="6"/>
          <bgColor theme="6"/>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259245</xdr:colOff>
      <xdr:row>0</xdr:row>
      <xdr:rowOff>65020</xdr:rowOff>
    </xdr:from>
    <xdr:to>
      <xdr:col>1</xdr:col>
      <xdr:colOff>2203725</xdr:colOff>
      <xdr:row>0</xdr:row>
      <xdr:rowOff>736601</xdr:rowOff>
    </xdr:to>
    <xdr:pic>
      <xdr:nvPicPr>
        <xdr:cNvPr id="2" name="Picture 1">
          <a:extLst>
            <a:ext uri="{FF2B5EF4-FFF2-40B4-BE49-F238E27FC236}">
              <a16:creationId xmlns:a16="http://schemas.microsoft.com/office/drawing/2014/main" id="{40EB1612-995F-4182-B529-D4CA75685D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245" y="65020"/>
          <a:ext cx="2712830" cy="668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docs.live.net/c24499557bcb4125/Content.Outlook/Content.Outlook/Roaming/Joachim%20Groenewald/AppData/Roaming/Microsoft/CFM%2056%20SB%20DATA/CFM56_7B_SB_REV_72-1005_TSN.03_R_20181030%20(1).pdf" TargetMode="External"/><Relationship Id="rId3" Type="http://schemas.openxmlformats.org/officeDocument/2006/relationships/hyperlink" Target="https://d.docs.live.net/c24499557bcb4125/Content.Outlook/Content.Outlook/Roaming/Joachim%20Groenewald/AppData/Roaming/Microsoft/CFM%2056%20SB%20DATA/CFM56_7B_SB_REV_72-0477_TSN.02_R_20080306.pdf" TargetMode="External"/><Relationship Id="rId7" Type="http://schemas.openxmlformats.org/officeDocument/2006/relationships/hyperlink" Target="https://d.docs.live.net/c24499557bcb4125/Content.Outlook/Content.Outlook/Roaming/Joachim%20Groenewald/AppData/Roaming/Microsoft/CFM%2056%20SB%20DATA/CFM56_7B_SB_REV_72-0986_TSN.03_R_20181030.pdf" TargetMode="External"/><Relationship Id="rId2" Type="http://schemas.openxmlformats.org/officeDocument/2006/relationships/hyperlink" Target="https://d.docs.live.net/c24499557bcb4125/Content.Outlook/Content.Outlook/Roaming/Joachim%20Groenewald/AppData/Roaming/Microsoft/CFM%2056%20SB%20DATA/CFM56_7B_SB_REV_72-0325_TSN.03_R_20021002.pdf" TargetMode="External"/><Relationship Id="rId1" Type="http://schemas.openxmlformats.org/officeDocument/2006/relationships/hyperlink" Target="https://d.docs.live.net/c24499557bcb4125/Content.Outlook/Content.Outlook/Roaming/Joachim%20Groenewald/AppData/Roaming/Microsoft/CFM%2056%20SB%20DATA/CFM56_7B_SB_REV_72-0229_TSN.04_N_20120223.pdf" TargetMode="External"/><Relationship Id="rId6" Type="http://schemas.openxmlformats.org/officeDocument/2006/relationships/hyperlink" Target="https://d.docs.live.net/c24499557bcb4125/Content.Outlook/Content.Outlook/Roaming/Joachim%20Groenewald/AppData/Roaming/Microsoft/CFM%2056%20SB%20DATA/CFM56_7B_SB_REV_72-0926_TSN.01_R_20131009.pdf" TargetMode="External"/><Relationship Id="rId11" Type="http://schemas.openxmlformats.org/officeDocument/2006/relationships/drawing" Target="../drawings/drawing1.xml"/><Relationship Id="rId5" Type="http://schemas.openxmlformats.org/officeDocument/2006/relationships/hyperlink" Target="https://d.docs.live.net/c24499557bcb4125/Content.Outlook/Content.Outlook/Roaming/Joachim%20Groenewald/AppData/Roaming/Microsoft/CFM%2056%20SB%20DATA/CFM56_7B_SB_REV_72-0521_TSN.01_R_20120613.pdf" TargetMode="External"/><Relationship Id="rId10" Type="http://schemas.openxmlformats.org/officeDocument/2006/relationships/hyperlink" Target="https://d.docs.live.net/c24499557bcb4125/Content.Outlook/Content.Outlook/Roaming/Joachim%20Groenewald/AppData/Roaming/Microsoft/CFM%2056%20SB%20DATA/CFM56_7B_SB_REV_79-0010_TSN.02_R_19990101.pdf" TargetMode="External"/><Relationship Id="rId4" Type="http://schemas.openxmlformats.org/officeDocument/2006/relationships/hyperlink" Target="https://d.docs.live.net/c24499557bcb4125/Content.Outlook/Content.Outlook/Roaming/Joachim%20Groenewald/AppData/Roaming/Microsoft/CFM%2056%20SB%20DATA/CFM56_7B_SB_REV_72-0512_TSN.05_R_20220704.pdf" TargetMode="External"/><Relationship Id="rId9" Type="http://schemas.openxmlformats.org/officeDocument/2006/relationships/hyperlink" Target="https://d.docs.live.net/c24499557bcb4125/Content.Outlook/Content.Outlook/Roaming/Joachim%20Groenewald/AppData/Roaming/Microsoft/CFM%2056%20SB%20DATA/CFM56_7B_SB_REV_77-0005_TSN.00_N_200311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9ED4-4874-4A3A-A59C-B5BD89CD966F}">
  <dimension ref="A1:K1519"/>
  <sheetViews>
    <sheetView tabSelected="1" workbookViewId="0">
      <selection sqref="A1:XFD1048576"/>
    </sheetView>
  </sheetViews>
  <sheetFormatPr defaultRowHeight="15" x14ac:dyDescent="0.25"/>
  <cols>
    <col min="1" max="1" width="11.5703125" style="76" customWidth="1"/>
    <col min="2" max="2" width="107" customWidth="1"/>
    <col min="3" max="3" width="14.140625" customWidth="1"/>
    <col min="4" max="4" width="15.85546875" customWidth="1"/>
    <col min="5" max="6" width="13.140625" customWidth="1"/>
    <col min="7" max="8" width="17.85546875" hidden="1" customWidth="1"/>
    <col min="9" max="9" width="19.42578125" hidden="1" customWidth="1"/>
    <col min="10" max="10" width="22.85546875" customWidth="1"/>
    <col min="11" max="11" width="21.42578125" style="77" customWidth="1"/>
    <col min="12" max="12" width="14.85546875" customWidth="1"/>
  </cols>
  <sheetData>
    <row r="1" spans="1:11" ht="61.7" customHeight="1" thickBot="1" x14ac:dyDescent="0.3">
      <c r="A1" s="94" t="s">
        <v>2622</v>
      </c>
      <c r="B1" s="95"/>
      <c r="C1" s="95"/>
      <c r="D1" s="95"/>
      <c r="E1" s="95"/>
      <c r="F1" s="95"/>
      <c r="G1" s="95"/>
      <c r="H1" s="95"/>
      <c r="I1" s="95"/>
      <c r="J1" s="95"/>
      <c r="K1" s="96"/>
    </row>
    <row r="2" spans="1:11" s="7" customFormat="1" ht="42" x14ac:dyDescent="0.35">
      <c r="A2" s="1" t="s">
        <v>0</v>
      </c>
      <c r="B2" s="2" t="s">
        <v>1</v>
      </c>
      <c r="C2" s="3" t="s">
        <v>2</v>
      </c>
      <c r="D2" s="4" t="s">
        <v>3</v>
      </c>
      <c r="E2" s="3" t="s">
        <v>4</v>
      </c>
      <c r="F2" s="2" t="s">
        <v>5</v>
      </c>
      <c r="G2" s="4" t="s">
        <v>6</v>
      </c>
      <c r="H2" s="4" t="s">
        <v>7</v>
      </c>
      <c r="I2" s="5" t="s">
        <v>8</v>
      </c>
      <c r="J2" s="2" t="s">
        <v>9</v>
      </c>
      <c r="K2" s="6" t="s">
        <v>10</v>
      </c>
    </row>
    <row r="3" spans="1:11" s="14" customFormat="1" ht="18" x14ac:dyDescent="0.25">
      <c r="A3" s="8">
        <v>1</v>
      </c>
      <c r="B3" s="37" t="s">
        <v>11</v>
      </c>
      <c r="C3" s="9">
        <v>3</v>
      </c>
      <c r="D3" s="10" t="s">
        <v>12</v>
      </c>
      <c r="E3" s="101">
        <v>3</v>
      </c>
      <c r="F3" s="10"/>
      <c r="G3" s="10"/>
      <c r="H3" s="10"/>
      <c r="I3" s="11"/>
      <c r="J3" s="12" t="s">
        <v>13</v>
      </c>
      <c r="K3" s="13"/>
    </row>
    <row r="4" spans="1:11" s="20" customFormat="1" ht="18" x14ac:dyDescent="0.25">
      <c r="A4" s="15"/>
      <c r="B4" s="16" t="s">
        <v>14</v>
      </c>
      <c r="C4" s="17">
        <f>SUM(E5:E12)</f>
        <v>7.5</v>
      </c>
      <c r="D4" s="17"/>
      <c r="E4" s="102"/>
      <c r="F4" s="17">
        <f>SUM(F5:F12)</f>
        <v>6.3</v>
      </c>
      <c r="G4" s="18"/>
      <c r="H4" s="18"/>
      <c r="I4" s="18"/>
      <c r="J4" s="18"/>
      <c r="K4" s="19"/>
    </row>
    <row r="5" spans="1:11" s="14" customFormat="1" ht="36" x14ac:dyDescent="0.25">
      <c r="A5" s="21">
        <v>2</v>
      </c>
      <c r="B5" s="13" t="s">
        <v>15</v>
      </c>
      <c r="C5" s="97"/>
      <c r="D5" s="11" t="s">
        <v>16</v>
      </c>
      <c r="E5" s="36">
        <v>1</v>
      </c>
      <c r="F5" s="11"/>
      <c r="G5" s="11"/>
      <c r="H5" s="11"/>
      <c r="I5" s="11"/>
      <c r="J5" s="12" t="s">
        <v>13</v>
      </c>
      <c r="K5" s="13" t="s">
        <v>17</v>
      </c>
    </row>
    <row r="6" spans="1:11" s="14" customFormat="1" ht="36" x14ac:dyDescent="0.25">
      <c r="A6" s="21">
        <v>3</v>
      </c>
      <c r="B6" s="13" t="s">
        <v>18</v>
      </c>
      <c r="C6" s="97"/>
      <c r="D6" s="11" t="s">
        <v>16</v>
      </c>
      <c r="E6" s="36">
        <v>1</v>
      </c>
      <c r="F6" s="11"/>
      <c r="G6" s="11"/>
      <c r="H6" s="11"/>
      <c r="I6" s="11"/>
      <c r="J6" s="12" t="s">
        <v>13</v>
      </c>
      <c r="K6" s="13" t="s">
        <v>17</v>
      </c>
    </row>
    <row r="7" spans="1:11" s="14" customFormat="1" ht="36" x14ac:dyDescent="0.25">
      <c r="A7" s="21">
        <v>4</v>
      </c>
      <c r="B7" s="13" t="s">
        <v>19</v>
      </c>
      <c r="C7" s="97"/>
      <c r="D7" s="11" t="s">
        <v>16</v>
      </c>
      <c r="E7" s="36">
        <v>1</v>
      </c>
      <c r="F7" s="11"/>
      <c r="G7" s="11"/>
      <c r="H7" s="11"/>
      <c r="I7" s="11"/>
      <c r="J7" s="12" t="s">
        <v>13</v>
      </c>
      <c r="K7" s="13" t="s">
        <v>17</v>
      </c>
    </row>
    <row r="8" spans="1:11" s="14" customFormat="1" ht="36" x14ac:dyDescent="0.25">
      <c r="A8" s="21">
        <v>5</v>
      </c>
      <c r="B8" s="13" t="s">
        <v>20</v>
      </c>
      <c r="C8" s="97"/>
      <c r="D8" s="11" t="s">
        <v>12</v>
      </c>
      <c r="E8" s="36">
        <v>0.5</v>
      </c>
      <c r="F8" s="11">
        <v>0.5</v>
      </c>
      <c r="G8" s="11" t="s">
        <v>21</v>
      </c>
      <c r="H8" s="22">
        <v>46008</v>
      </c>
      <c r="I8" s="22">
        <v>46013</v>
      </c>
      <c r="J8" s="12" t="s">
        <v>22</v>
      </c>
      <c r="K8" s="13" t="s">
        <v>17</v>
      </c>
    </row>
    <row r="9" spans="1:11" s="14" customFormat="1" ht="36" x14ac:dyDescent="0.25">
      <c r="A9" s="21">
        <v>6</v>
      </c>
      <c r="B9" s="13" t="s">
        <v>23</v>
      </c>
      <c r="C9" s="97"/>
      <c r="D9" s="11" t="s">
        <v>12</v>
      </c>
      <c r="E9" s="36">
        <v>1</v>
      </c>
      <c r="F9" s="11">
        <v>0.8</v>
      </c>
      <c r="G9" s="11" t="s">
        <v>21</v>
      </c>
      <c r="H9" s="22">
        <v>45971</v>
      </c>
      <c r="I9" s="22">
        <v>45986</v>
      </c>
      <c r="J9" s="12" t="s">
        <v>22</v>
      </c>
      <c r="K9" s="13" t="s">
        <v>17</v>
      </c>
    </row>
    <row r="10" spans="1:11" s="14" customFormat="1" ht="144" x14ac:dyDescent="0.25">
      <c r="A10" s="21">
        <v>7</v>
      </c>
      <c r="B10" s="13" t="s">
        <v>24</v>
      </c>
      <c r="C10" s="97"/>
      <c r="D10" s="11" t="s">
        <v>12</v>
      </c>
      <c r="E10" s="36">
        <v>1</v>
      </c>
      <c r="F10" s="11">
        <v>2</v>
      </c>
      <c r="G10" s="11" t="s">
        <v>25</v>
      </c>
      <c r="H10" s="22">
        <v>45971</v>
      </c>
      <c r="I10" s="22">
        <v>45981</v>
      </c>
      <c r="J10" s="12" t="s">
        <v>22</v>
      </c>
      <c r="K10" s="13" t="s">
        <v>26</v>
      </c>
    </row>
    <row r="11" spans="1:11" s="14" customFormat="1" ht="54" x14ac:dyDescent="0.25">
      <c r="A11" s="21">
        <v>8</v>
      </c>
      <c r="B11" s="13" t="s">
        <v>27</v>
      </c>
      <c r="C11" s="97"/>
      <c r="D11" s="11" t="s">
        <v>16</v>
      </c>
      <c r="E11" s="36">
        <v>1</v>
      </c>
      <c r="F11" s="11">
        <v>1</v>
      </c>
      <c r="G11" s="11" t="s">
        <v>28</v>
      </c>
      <c r="H11" s="22">
        <v>45973</v>
      </c>
      <c r="I11" s="22">
        <v>45986</v>
      </c>
      <c r="J11" s="12" t="s">
        <v>22</v>
      </c>
      <c r="K11" s="13" t="s">
        <v>26</v>
      </c>
    </row>
    <row r="12" spans="1:11" s="14" customFormat="1" ht="36" x14ac:dyDescent="0.25">
      <c r="A12" s="21">
        <v>9</v>
      </c>
      <c r="B12" s="13" t="s">
        <v>29</v>
      </c>
      <c r="C12" s="97"/>
      <c r="D12" s="11" t="s">
        <v>12</v>
      </c>
      <c r="E12" s="36">
        <v>1</v>
      </c>
      <c r="F12" s="11">
        <v>2</v>
      </c>
      <c r="G12" s="11" t="s">
        <v>25</v>
      </c>
      <c r="H12" s="22">
        <v>45971</v>
      </c>
      <c r="I12" s="22">
        <v>45981</v>
      </c>
      <c r="J12" s="12" t="s">
        <v>22</v>
      </c>
      <c r="K12" s="13" t="s">
        <v>26</v>
      </c>
    </row>
    <row r="13" spans="1:11" s="20" customFormat="1" ht="18" x14ac:dyDescent="0.25">
      <c r="A13" s="23"/>
      <c r="B13" s="16" t="s">
        <v>30</v>
      </c>
      <c r="C13" s="17">
        <f>SUM(E14:E22)</f>
        <v>23</v>
      </c>
      <c r="D13" s="17"/>
      <c r="E13" s="102"/>
      <c r="F13" s="17">
        <f>SUM(F14:F22)</f>
        <v>3.5</v>
      </c>
      <c r="G13" s="18"/>
      <c r="H13" s="18"/>
      <c r="I13" s="18"/>
      <c r="J13" s="18"/>
      <c r="K13" s="19"/>
    </row>
    <row r="14" spans="1:11" s="14" customFormat="1" ht="54" x14ac:dyDescent="0.25">
      <c r="A14" s="21">
        <v>10</v>
      </c>
      <c r="B14" s="13" t="s">
        <v>31</v>
      </c>
      <c r="C14" s="98"/>
      <c r="D14" s="11" t="s">
        <v>16</v>
      </c>
      <c r="E14" s="36">
        <v>1</v>
      </c>
      <c r="F14" s="11">
        <v>0.5</v>
      </c>
      <c r="G14" s="11" t="s">
        <v>32</v>
      </c>
      <c r="H14" s="22">
        <v>45975</v>
      </c>
      <c r="I14" s="22">
        <v>45986</v>
      </c>
      <c r="J14" s="12" t="s">
        <v>22</v>
      </c>
      <c r="K14" s="13" t="s">
        <v>26</v>
      </c>
    </row>
    <row r="15" spans="1:11" s="14" customFormat="1" ht="72" x14ac:dyDescent="0.25">
      <c r="A15" s="21">
        <v>11</v>
      </c>
      <c r="B15" s="13" t="s">
        <v>33</v>
      </c>
      <c r="C15" s="98"/>
      <c r="D15" s="11" t="s">
        <v>12</v>
      </c>
      <c r="E15" s="36">
        <v>2</v>
      </c>
      <c r="F15" s="11">
        <v>2</v>
      </c>
      <c r="G15" s="11" t="s">
        <v>21</v>
      </c>
      <c r="H15" s="22">
        <v>46008</v>
      </c>
      <c r="I15" s="22">
        <v>46013</v>
      </c>
      <c r="J15" s="12" t="s">
        <v>22</v>
      </c>
      <c r="K15" s="13" t="s">
        <v>26</v>
      </c>
    </row>
    <row r="16" spans="1:11" s="14" customFormat="1" ht="54" x14ac:dyDescent="0.25">
      <c r="A16" s="21">
        <v>12</v>
      </c>
      <c r="B16" s="13" t="s">
        <v>34</v>
      </c>
      <c r="C16" s="98"/>
      <c r="D16" s="11" t="s">
        <v>12</v>
      </c>
      <c r="E16" s="36">
        <v>3</v>
      </c>
      <c r="F16" s="11"/>
      <c r="G16" s="11"/>
      <c r="H16" s="11"/>
      <c r="I16" s="11"/>
      <c r="J16" s="12" t="s">
        <v>13</v>
      </c>
      <c r="K16" s="13" t="s">
        <v>26</v>
      </c>
    </row>
    <row r="17" spans="1:11" s="14" customFormat="1" ht="72" x14ac:dyDescent="0.25">
      <c r="A17" s="21">
        <v>13</v>
      </c>
      <c r="B17" s="13" t="s">
        <v>35</v>
      </c>
      <c r="C17" s="98"/>
      <c r="D17" s="11" t="s">
        <v>12</v>
      </c>
      <c r="E17" s="36">
        <v>1</v>
      </c>
      <c r="F17" s="11">
        <v>1</v>
      </c>
      <c r="G17" s="11" t="s">
        <v>25</v>
      </c>
      <c r="H17" s="22">
        <v>45988</v>
      </c>
      <c r="I17" s="22">
        <v>45999</v>
      </c>
      <c r="J17" s="12" t="s">
        <v>22</v>
      </c>
      <c r="K17" s="13" t="s">
        <v>26</v>
      </c>
    </row>
    <row r="18" spans="1:11" s="14" customFormat="1" ht="36" x14ac:dyDescent="0.25">
      <c r="A18" s="21">
        <v>14</v>
      </c>
      <c r="B18" s="13" t="s">
        <v>36</v>
      </c>
      <c r="C18" s="98"/>
      <c r="D18" s="11" t="s">
        <v>16</v>
      </c>
      <c r="E18" s="36">
        <v>3</v>
      </c>
      <c r="F18" s="11"/>
      <c r="G18" s="11"/>
      <c r="H18" s="11"/>
      <c r="I18" s="11"/>
      <c r="J18" s="12" t="s">
        <v>13</v>
      </c>
      <c r="K18" s="13" t="s">
        <v>26</v>
      </c>
    </row>
    <row r="19" spans="1:11" s="14" customFormat="1" ht="36" x14ac:dyDescent="0.25">
      <c r="A19" s="21">
        <v>15</v>
      </c>
      <c r="B19" s="13" t="s">
        <v>37</v>
      </c>
      <c r="C19" s="98"/>
      <c r="D19" s="11" t="s">
        <v>16</v>
      </c>
      <c r="E19" s="36">
        <v>3</v>
      </c>
      <c r="F19" s="11"/>
      <c r="G19" s="11"/>
      <c r="H19" s="11"/>
      <c r="I19" s="11"/>
      <c r="J19" s="12" t="s">
        <v>13</v>
      </c>
      <c r="K19" s="13" t="s">
        <v>38</v>
      </c>
    </row>
    <row r="20" spans="1:11" s="14" customFormat="1" ht="72" x14ac:dyDescent="0.25">
      <c r="A20" s="21">
        <v>16</v>
      </c>
      <c r="B20" s="13" t="s">
        <v>39</v>
      </c>
      <c r="C20" s="98"/>
      <c r="D20" s="11" t="s">
        <v>16</v>
      </c>
      <c r="E20" s="36">
        <v>4</v>
      </c>
      <c r="F20" s="11"/>
      <c r="G20" s="11"/>
      <c r="H20" s="11"/>
      <c r="I20" s="11"/>
      <c r="J20" s="12" t="s">
        <v>13</v>
      </c>
      <c r="K20" s="13" t="s">
        <v>26</v>
      </c>
    </row>
    <row r="21" spans="1:11" s="14" customFormat="1" ht="54" x14ac:dyDescent="0.25">
      <c r="A21" s="21">
        <v>17</v>
      </c>
      <c r="B21" s="13" t="s">
        <v>40</v>
      </c>
      <c r="C21" s="98"/>
      <c r="D21" s="11" t="s">
        <v>16</v>
      </c>
      <c r="E21" s="36">
        <v>4</v>
      </c>
      <c r="F21" s="11"/>
      <c r="G21" s="11"/>
      <c r="H21" s="11"/>
      <c r="I21" s="11"/>
      <c r="J21" s="12" t="s">
        <v>13</v>
      </c>
      <c r="K21" s="13" t="s">
        <v>26</v>
      </c>
    </row>
    <row r="22" spans="1:11" s="14" customFormat="1" ht="36" x14ac:dyDescent="0.25">
      <c r="A22" s="21">
        <v>18</v>
      </c>
      <c r="B22" s="13" t="s">
        <v>41</v>
      </c>
      <c r="C22" s="98"/>
      <c r="D22" s="11" t="s">
        <v>16</v>
      </c>
      <c r="E22" s="36">
        <v>2</v>
      </c>
      <c r="F22" s="11"/>
      <c r="G22" s="11"/>
      <c r="H22" s="11"/>
      <c r="I22" s="11"/>
      <c r="J22" s="12" t="s">
        <v>13</v>
      </c>
      <c r="K22" s="13" t="s">
        <v>42</v>
      </c>
    </row>
    <row r="23" spans="1:11" s="20" customFormat="1" ht="18" x14ac:dyDescent="0.25">
      <c r="A23" s="23"/>
      <c r="B23" s="16" t="s">
        <v>43</v>
      </c>
      <c r="C23" s="17">
        <f>SUM(E24:E54)</f>
        <v>56.96</v>
      </c>
      <c r="D23" s="17"/>
      <c r="E23" s="102"/>
      <c r="F23" s="17">
        <f>SUM(F24:F54)</f>
        <v>79.5</v>
      </c>
      <c r="G23" s="18"/>
      <c r="H23" s="18"/>
      <c r="I23" s="18"/>
      <c r="J23" s="18"/>
      <c r="K23" s="19"/>
    </row>
    <row r="24" spans="1:11" s="14" customFormat="1" ht="54" x14ac:dyDescent="0.25">
      <c r="A24" s="21">
        <v>19</v>
      </c>
      <c r="B24" s="13" t="s">
        <v>44</v>
      </c>
      <c r="C24" s="99"/>
      <c r="D24" s="11" t="s">
        <v>12</v>
      </c>
      <c r="E24" s="36">
        <v>2.5</v>
      </c>
      <c r="F24" s="11"/>
      <c r="G24" s="11"/>
      <c r="H24" s="11"/>
      <c r="I24" s="11"/>
      <c r="J24" s="12" t="s">
        <v>13</v>
      </c>
      <c r="K24" s="13" t="s">
        <v>45</v>
      </c>
    </row>
    <row r="25" spans="1:11" s="14" customFormat="1" ht="36" x14ac:dyDescent="0.25">
      <c r="A25" s="21">
        <v>20</v>
      </c>
      <c r="B25" s="13" t="s">
        <v>46</v>
      </c>
      <c r="C25" s="99"/>
      <c r="D25" s="11" t="s">
        <v>12</v>
      </c>
      <c r="E25" s="36">
        <v>2.5</v>
      </c>
      <c r="F25" s="11"/>
      <c r="G25" s="11"/>
      <c r="H25" s="11"/>
      <c r="I25" s="11"/>
      <c r="J25" s="12" t="s">
        <v>13</v>
      </c>
      <c r="K25" s="13" t="s">
        <v>47</v>
      </c>
    </row>
    <row r="26" spans="1:11" s="14" customFormat="1" ht="36" x14ac:dyDescent="0.25">
      <c r="A26" s="21">
        <v>21</v>
      </c>
      <c r="B26" s="13" t="s">
        <v>48</v>
      </c>
      <c r="C26" s="99"/>
      <c r="D26" s="11" t="s">
        <v>12</v>
      </c>
      <c r="E26" s="36">
        <v>3</v>
      </c>
      <c r="F26" s="11"/>
      <c r="G26" s="11"/>
      <c r="H26" s="11"/>
      <c r="I26" s="11"/>
      <c r="J26" s="12" t="s">
        <v>13</v>
      </c>
      <c r="K26" s="13" t="s">
        <v>49</v>
      </c>
    </row>
    <row r="27" spans="1:11" s="14" customFormat="1" ht="36" x14ac:dyDescent="0.25">
      <c r="A27" s="21">
        <v>22</v>
      </c>
      <c r="B27" s="13" t="s">
        <v>50</v>
      </c>
      <c r="C27" s="99"/>
      <c r="D27" s="11" t="s">
        <v>12</v>
      </c>
      <c r="E27" s="36">
        <v>2</v>
      </c>
      <c r="F27" s="11">
        <v>7</v>
      </c>
      <c r="G27" s="11" t="s">
        <v>25</v>
      </c>
      <c r="H27" s="22">
        <v>46084</v>
      </c>
      <c r="I27" s="22">
        <v>46113</v>
      </c>
      <c r="J27" s="12" t="s">
        <v>22</v>
      </c>
      <c r="K27" s="13" t="s">
        <v>51</v>
      </c>
    </row>
    <row r="28" spans="1:11" s="14" customFormat="1" ht="36" x14ac:dyDescent="0.25">
      <c r="A28" s="21">
        <v>23</v>
      </c>
      <c r="B28" s="13" t="s">
        <v>52</v>
      </c>
      <c r="C28" s="99"/>
      <c r="D28" s="11" t="s">
        <v>12</v>
      </c>
      <c r="E28" s="36">
        <v>2</v>
      </c>
      <c r="F28" s="11">
        <v>2</v>
      </c>
      <c r="G28" s="11" t="s">
        <v>25</v>
      </c>
      <c r="H28" s="22">
        <v>46084</v>
      </c>
      <c r="I28" s="22">
        <v>46113</v>
      </c>
      <c r="J28" s="12" t="s">
        <v>22</v>
      </c>
      <c r="K28" s="13" t="s">
        <v>53</v>
      </c>
    </row>
    <row r="29" spans="1:11" s="14" customFormat="1" ht="36" x14ac:dyDescent="0.25">
      <c r="A29" s="21">
        <v>24</v>
      </c>
      <c r="B29" s="13" t="s">
        <v>54</v>
      </c>
      <c r="C29" s="99"/>
      <c r="D29" s="11" t="s">
        <v>12</v>
      </c>
      <c r="E29" s="36">
        <v>5</v>
      </c>
      <c r="F29" s="11">
        <v>3</v>
      </c>
      <c r="G29" s="11" t="s">
        <v>25</v>
      </c>
      <c r="H29" s="22">
        <v>46084</v>
      </c>
      <c r="I29" s="22">
        <v>46113</v>
      </c>
      <c r="J29" s="12" t="s">
        <v>22</v>
      </c>
      <c r="K29" s="13" t="s">
        <v>55</v>
      </c>
    </row>
    <row r="30" spans="1:11" s="14" customFormat="1" ht="54" x14ac:dyDescent="0.25">
      <c r="A30" s="21">
        <v>25</v>
      </c>
      <c r="B30" s="13" t="s">
        <v>56</v>
      </c>
      <c r="C30" s="99"/>
      <c r="D30" s="11" t="s">
        <v>12</v>
      </c>
      <c r="E30" s="36">
        <v>1.5</v>
      </c>
      <c r="F30" s="11"/>
      <c r="G30" s="11"/>
      <c r="H30" s="11"/>
      <c r="I30" s="11"/>
      <c r="J30" s="12" t="s">
        <v>13</v>
      </c>
      <c r="K30" s="13" t="s">
        <v>57</v>
      </c>
    </row>
    <row r="31" spans="1:11" s="14" customFormat="1" ht="54" x14ac:dyDescent="0.25">
      <c r="A31" s="21">
        <v>26</v>
      </c>
      <c r="B31" s="13" t="s">
        <v>58</v>
      </c>
      <c r="C31" s="99"/>
      <c r="D31" s="11" t="s">
        <v>12</v>
      </c>
      <c r="E31" s="36">
        <v>1.5</v>
      </c>
      <c r="F31" s="11"/>
      <c r="G31" s="11"/>
      <c r="H31" s="11"/>
      <c r="I31" s="11"/>
      <c r="J31" s="12" t="s">
        <v>13</v>
      </c>
      <c r="K31" s="13" t="s">
        <v>59</v>
      </c>
    </row>
    <row r="32" spans="1:11" s="14" customFormat="1" ht="54" x14ac:dyDescent="0.25">
      <c r="A32" s="21">
        <v>27</v>
      </c>
      <c r="B32" s="13" t="s">
        <v>60</v>
      </c>
      <c r="C32" s="99"/>
      <c r="D32" s="11" t="s">
        <v>12</v>
      </c>
      <c r="E32" s="36">
        <v>4</v>
      </c>
      <c r="F32" s="11">
        <v>3</v>
      </c>
      <c r="G32" s="11" t="s">
        <v>25</v>
      </c>
      <c r="H32" s="22">
        <v>46087</v>
      </c>
      <c r="I32" s="22">
        <v>46113</v>
      </c>
      <c r="J32" s="12" t="s">
        <v>22</v>
      </c>
      <c r="K32" s="13" t="s">
        <v>61</v>
      </c>
    </row>
    <row r="33" spans="1:11" s="14" customFormat="1" ht="36" x14ac:dyDescent="0.25">
      <c r="A33" s="21">
        <v>28</v>
      </c>
      <c r="B33" s="13" t="s">
        <v>62</v>
      </c>
      <c r="C33" s="99"/>
      <c r="D33" s="11" t="s">
        <v>12</v>
      </c>
      <c r="E33" s="36">
        <v>0.5</v>
      </c>
      <c r="F33" s="11">
        <v>4</v>
      </c>
      <c r="G33" s="11" t="s">
        <v>25</v>
      </c>
      <c r="H33" s="22">
        <v>46084</v>
      </c>
      <c r="I33" s="22">
        <v>46113</v>
      </c>
      <c r="J33" s="12" t="s">
        <v>22</v>
      </c>
      <c r="K33" s="13" t="s">
        <v>63</v>
      </c>
    </row>
    <row r="34" spans="1:11" s="14" customFormat="1" ht="36" x14ac:dyDescent="0.25">
      <c r="A34" s="21">
        <v>29</v>
      </c>
      <c r="B34" s="13" t="s">
        <v>64</v>
      </c>
      <c r="C34" s="99"/>
      <c r="D34" s="11" t="s">
        <v>12</v>
      </c>
      <c r="E34" s="36">
        <v>0.5</v>
      </c>
      <c r="F34" s="11">
        <v>4</v>
      </c>
      <c r="G34" s="11" t="s">
        <v>25</v>
      </c>
      <c r="H34" s="22">
        <v>46084</v>
      </c>
      <c r="I34" s="22">
        <v>46113</v>
      </c>
      <c r="J34" s="12" t="s">
        <v>22</v>
      </c>
      <c r="K34" s="13" t="s">
        <v>65</v>
      </c>
    </row>
    <row r="35" spans="1:11" s="14" customFormat="1" ht="36" x14ac:dyDescent="0.25">
      <c r="A35" s="21">
        <v>30</v>
      </c>
      <c r="B35" s="13" t="s">
        <v>66</v>
      </c>
      <c r="C35" s="99"/>
      <c r="D35" s="11" t="s">
        <v>12</v>
      </c>
      <c r="E35" s="36">
        <v>1.5</v>
      </c>
      <c r="F35" s="11">
        <v>4</v>
      </c>
      <c r="G35" s="11" t="s">
        <v>25</v>
      </c>
      <c r="H35" s="22">
        <v>46084</v>
      </c>
      <c r="I35" s="22">
        <v>46113</v>
      </c>
      <c r="J35" s="12" t="s">
        <v>22</v>
      </c>
      <c r="K35" s="13" t="s">
        <v>67</v>
      </c>
    </row>
    <row r="36" spans="1:11" s="14" customFormat="1" ht="36" x14ac:dyDescent="0.25">
      <c r="A36" s="21">
        <v>31</v>
      </c>
      <c r="B36" s="13" t="s">
        <v>68</v>
      </c>
      <c r="C36" s="99"/>
      <c r="D36" s="11" t="s">
        <v>12</v>
      </c>
      <c r="E36" s="36">
        <v>1.5</v>
      </c>
      <c r="F36" s="11">
        <v>4</v>
      </c>
      <c r="G36" s="11" t="s">
        <v>25</v>
      </c>
      <c r="H36" s="22">
        <v>46084</v>
      </c>
      <c r="I36" s="22">
        <v>46113</v>
      </c>
      <c r="J36" s="12" t="s">
        <v>22</v>
      </c>
      <c r="K36" s="13" t="s">
        <v>69</v>
      </c>
    </row>
    <row r="37" spans="1:11" s="14" customFormat="1" ht="18" x14ac:dyDescent="0.25">
      <c r="A37" s="21">
        <v>32</v>
      </c>
      <c r="B37" s="13" t="s">
        <v>70</v>
      </c>
      <c r="C37" s="99"/>
      <c r="D37" s="11" t="s">
        <v>12</v>
      </c>
      <c r="E37" s="36" t="s">
        <v>71</v>
      </c>
      <c r="F37" s="11"/>
      <c r="G37" s="11"/>
      <c r="H37" s="11"/>
      <c r="I37" s="11"/>
      <c r="J37" s="12" t="s">
        <v>13</v>
      </c>
      <c r="K37" s="13" t="s">
        <v>72</v>
      </c>
    </row>
    <row r="38" spans="1:11" s="14" customFormat="1" ht="36" x14ac:dyDescent="0.25">
      <c r="A38" s="21">
        <v>33</v>
      </c>
      <c r="B38" s="13" t="s">
        <v>73</v>
      </c>
      <c r="C38" s="99"/>
      <c r="D38" s="11" t="s">
        <v>12</v>
      </c>
      <c r="E38" s="36" t="s">
        <v>71</v>
      </c>
      <c r="F38" s="11"/>
      <c r="G38" s="11"/>
      <c r="H38" s="11"/>
      <c r="I38" s="11"/>
      <c r="J38" s="12" t="s">
        <v>13</v>
      </c>
      <c r="K38" s="13" t="s">
        <v>74</v>
      </c>
    </row>
    <row r="39" spans="1:11" s="14" customFormat="1" ht="36" x14ac:dyDescent="0.25">
      <c r="A39" s="21">
        <v>34</v>
      </c>
      <c r="B39" s="13" t="s">
        <v>75</v>
      </c>
      <c r="C39" s="99"/>
      <c r="D39" s="11" t="s">
        <v>12</v>
      </c>
      <c r="E39" s="36" t="s">
        <v>71</v>
      </c>
      <c r="F39" s="11"/>
      <c r="G39" s="11"/>
      <c r="H39" s="11"/>
      <c r="I39" s="11"/>
      <c r="J39" s="12" t="s">
        <v>13</v>
      </c>
      <c r="K39" s="13" t="s">
        <v>76</v>
      </c>
    </row>
    <row r="40" spans="1:11" s="14" customFormat="1" ht="36" x14ac:dyDescent="0.25">
      <c r="A40" s="21">
        <v>35</v>
      </c>
      <c r="B40" s="13" t="s">
        <v>77</v>
      </c>
      <c r="C40" s="99"/>
      <c r="D40" s="11" t="s">
        <v>12</v>
      </c>
      <c r="E40" s="36" t="s">
        <v>71</v>
      </c>
      <c r="F40" s="11"/>
      <c r="G40" s="11"/>
      <c r="H40" s="11"/>
      <c r="I40" s="11"/>
      <c r="J40" s="12" t="s">
        <v>13</v>
      </c>
      <c r="K40" s="13" t="s">
        <v>78</v>
      </c>
    </row>
    <row r="41" spans="1:11" s="14" customFormat="1" ht="36" x14ac:dyDescent="0.25">
      <c r="A41" s="21">
        <v>36</v>
      </c>
      <c r="B41" s="13" t="s">
        <v>79</v>
      </c>
      <c r="C41" s="99"/>
      <c r="D41" s="11" t="s">
        <v>12</v>
      </c>
      <c r="E41" s="36">
        <v>2.08</v>
      </c>
      <c r="F41" s="11">
        <v>4</v>
      </c>
      <c r="G41" s="11" t="s">
        <v>25</v>
      </c>
      <c r="H41" s="22">
        <v>46084</v>
      </c>
      <c r="I41" s="22">
        <v>46113</v>
      </c>
      <c r="J41" s="12" t="s">
        <v>22</v>
      </c>
      <c r="K41" s="13" t="s">
        <v>80</v>
      </c>
    </row>
    <row r="42" spans="1:11" s="14" customFormat="1" ht="36" x14ac:dyDescent="0.25">
      <c r="A42" s="21">
        <v>37</v>
      </c>
      <c r="B42" s="13" t="s">
        <v>81</v>
      </c>
      <c r="C42" s="99"/>
      <c r="D42" s="11" t="s">
        <v>12</v>
      </c>
      <c r="E42" s="36">
        <v>2.5</v>
      </c>
      <c r="F42" s="11">
        <v>4</v>
      </c>
      <c r="G42" s="11" t="s">
        <v>25</v>
      </c>
      <c r="H42" s="22">
        <v>46084</v>
      </c>
      <c r="I42" s="22">
        <v>46113</v>
      </c>
      <c r="J42" s="12" t="s">
        <v>22</v>
      </c>
      <c r="K42" s="13" t="s">
        <v>82</v>
      </c>
    </row>
    <row r="43" spans="1:11" s="14" customFormat="1" ht="36" x14ac:dyDescent="0.25">
      <c r="A43" s="21">
        <v>38</v>
      </c>
      <c r="B43" s="13" t="s">
        <v>83</v>
      </c>
      <c r="C43" s="99"/>
      <c r="D43" s="11" t="s">
        <v>12</v>
      </c>
      <c r="E43" s="36">
        <v>2.5</v>
      </c>
      <c r="F43" s="11">
        <v>4</v>
      </c>
      <c r="G43" s="11" t="s">
        <v>25</v>
      </c>
      <c r="H43" s="22">
        <v>46084</v>
      </c>
      <c r="I43" s="22">
        <v>46113</v>
      </c>
      <c r="J43" s="12" t="s">
        <v>22</v>
      </c>
      <c r="K43" s="13" t="s">
        <v>84</v>
      </c>
    </row>
    <row r="44" spans="1:11" s="14" customFormat="1" ht="36" x14ac:dyDescent="0.25">
      <c r="A44" s="21">
        <v>39</v>
      </c>
      <c r="B44" s="13" t="s">
        <v>85</v>
      </c>
      <c r="C44" s="99"/>
      <c r="D44" s="11" t="s">
        <v>12</v>
      </c>
      <c r="E44" s="36">
        <v>3</v>
      </c>
      <c r="F44" s="11">
        <v>5</v>
      </c>
      <c r="G44" s="11" t="s">
        <v>25</v>
      </c>
      <c r="H44" s="22">
        <v>46084</v>
      </c>
      <c r="I44" s="22">
        <v>46113</v>
      </c>
      <c r="J44" s="12" t="s">
        <v>22</v>
      </c>
      <c r="K44" s="13" t="s">
        <v>86</v>
      </c>
    </row>
    <row r="45" spans="1:11" s="14" customFormat="1" ht="54" x14ac:dyDescent="0.25">
      <c r="A45" s="21">
        <v>40</v>
      </c>
      <c r="B45" s="13" t="s">
        <v>87</v>
      </c>
      <c r="C45" s="99"/>
      <c r="D45" s="11" t="s">
        <v>12</v>
      </c>
      <c r="E45" s="36">
        <v>1</v>
      </c>
      <c r="F45" s="11"/>
      <c r="G45" s="11"/>
      <c r="H45" s="11"/>
      <c r="I45" s="11"/>
      <c r="J45" s="12" t="s">
        <v>13</v>
      </c>
      <c r="K45" s="13" t="s">
        <v>88</v>
      </c>
    </row>
    <row r="46" spans="1:11" s="14" customFormat="1" ht="72" x14ac:dyDescent="0.25">
      <c r="A46" s="21">
        <v>41</v>
      </c>
      <c r="B46" s="13" t="s">
        <v>89</v>
      </c>
      <c r="C46" s="99"/>
      <c r="D46" s="11" t="s">
        <v>12</v>
      </c>
      <c r="E46" s="36">
        <v>3</v>
      </c>
      <c r="F46" s="11"/>
      <c r="G46" s="11"/>
      <c r="H46" s="11"/>
      <c r="I46" s="11"/>
      <c r="J46" s="12" t="s">
        <v>13</v>
      </c>
      <c r="K46" s="13" t="s">
        <v>26</v>
      </c>
    </row>
    <row r="47" spans="1:11" s="14" customFormat="1" ht="54" x14ac:dyDescent="0.25">
      <c r="A47" s="21">
        <v>42</v>
      </c>
      <c r="B47" s="13" t="s">
        <v>90</v>
      </c>
      <c r="C47" s="99"/>
      <c r="D47" s="11" t="s">
        <v>12</v>
      </c>
      <c r="E47" s="36">
        <v>3.88</v>
      </c>
      <c r="F47" s="11"/>
      <c r="G47" s="11"/>
      <c r="H47" s="11"/>
      <c r="I47" s="11"/>
      <c r="J47" s="12" t="s">
        <v>13</v>
      </c>
      <c r="K47" s="13" t="s">
        <v>26</v>
      </c>
    </row>
    <row r="48" spans="1:11" s="14" customFormat="1" ht="54" x14ac:dyDescent="0.25">
      <c r="A48" s="21">
        <v>43</v>
      </c>
      <c r="B48" s="13" t="s">
        <v>91</v>
      </c>
      <c r="C48" s="99"/>
      <c r="D48" s="11" t="s">
        <v>16</v>
      </c>
      <c r="E48" s="36">
        <v>2</v>
      </c>
      <c r="F48" s="11">
        <v>0.5</v>
      </c>
      <c r="G48" s="11" t="s">
        <v>92</v>
      </c>
      <c r="H48" s="22">
        <v>46064</v>
      </c>
      <c r="I48" s="22">
        <v>46064</v>
      </c>
      <c r="J48" s="12" t="s">
        <v>22</v>
      </c>
      <c r="K48" s="13" t="s">
        <v>26</v>
      </c>
    </row>
    <row r="49" spans="1:11" s="14" customFormat="1" ht="126" x14ac:dyDescent="0.25">
      <c r="A49" s="21">
        <v>44</v>
      </c>
      <c r="B49" s="13" t="s">
        <v>93</v>
      </c>
      <c r="C49" s="99"/>
      <c r="D49" s="11" t="s">
        <v>12</v>
      </c>
      <c r="E49" s="36">
        <v>2</v>
      </c>
      <c r="F49" s="11"/>
      <c r="G49" s="11"/>
      <c r="H49" s="11"/>
      <c r="I49" s="11"/>
      <c r="J49" s="12" t="s">
        <v>13</v>
      </c>
      <c r="K49" s="13" t="s">
        <v>94</v>
      </c>
    </row>
    <row r="50" spans="1:11" s="14" customFormat="1" ht="126" x14ac:dyDescent="0.25">
      <c r="A50" s="21">
        <v>45</v>
      </c>
      <c r="B50" s="13" t="s">
        <v>95</v>
      </c>
      <c r="C50" s="99"/>
      <c r="D50" s="11" t="s">
        <v>12</v>
      </c>
      <c r="E50" s="36">
        <v>2</v>
      </c>
      <c r="F50" s="11">
        <v>5</v>
      </c>
      <c r="G50" s="11" t="s">
        <v>25</v>
      </c>
      <c r="H50" s="22">
        <v>46086</v>
      </c>
      <c r="I50" s="22">
        <v>46113</v>
      </c>
      <c r="J50" s="12" t="s">
        <v>22</v>
      </c>
      <c r="K50" s="13" t="s">
        <v>96</v>
      </c>
    </row>
    <row r="51" spans="1:11" s="14" customFormat="1" ht="54" x14ac:dyDescent="0.25">
      <c r="A51" s="21">
        <v>46</v>
      </c>
      <c r="B51" s="13" t="s">
        <v>97</v>
      </c>
      <c r="C51" s="99"/>
      <c r="D51" s="11" t="s">
        <v>12</v>
      </c>
      <c r="E51" s="36">
        <v>1</v>
      </c>
      <c r="F51" s="11"/>
      <c r="G51" s="11"/>
      <c r="H51" s="11"/>
      <c r="I51" s="11"/>
      <c r="J51" s="12" t="s">
        <v>13</v>
      </c>
      <c r="K51" s="13" t="s">
        <v>98</v>
      </c>
    </row>
    <row r="52" spans="1:11" s="14" customFormat="1" ht="36" x14ac:dyDescent="0.25">
      <c r="A52" s="21">
        <v>47</v>
      </c>
      <c r="B52" s="13" t="s">
        <v>99</v>
      </c>
      <c r="C52" s="99"/>
      <c r="D52" s="11" t="s">
        <v>12</v>
      </c>
      <c r="E52" s="36">
        <v>1</v>
      </c>
      <c r="F52" s="11"/>
      <c r="G52" s="11"/>
      <c r="H52" s="11"/>
      <c r="I52" s="11"/>
      <c r="J52" s="12" t="s">
        <v>13</v>
      </c>
      <c r="K52" s="13" t="s">
        <v>100</v>
      </c>
    </row>
    <row r="53" spans="1:11" s="14" customFormat="1" ht="54" x14ac:dyDescent="0.25">
      <c r="A53" s="21">
        <v>48</v>
      </c>
      <c r="B53" s="13" t="s">
        <v>101</v>
      </c>
      <c r="C53" s="99"/>
      <c r="D53" s="11" t="s">
        <v>12</v>
      </c>
      <c r="E53" s="36">
        <v>2</v>
      </c>
      <c r="F53" s="11">
        <v>26</v>
      </c>
      <c r="G53" s="11" t="s">
        <v>25</v>
      </c>
      <c r="H53" s="22">
        <v>46086</v>
      </c>
      <c r="I53" s="22">
        <v>46113</v>
      </c>
      <c r="J53" s="12" t="s">
        <v>22</v>
      </c>
      <c r="K53" s="13" t="s">
        <v>102</v>
      </c>
    </row>
    <row r="54" spans="1:11" s="14" customFormat="1" ht="72" x14ac:dyDescent="0.25">
      <c r="A54" s="21">
        <v>49</v>
      </c>
      <c r="B54" s="13" t="s">
        <v>103</v>
      </c>
      <c r="C54" s="99"/>
      <c r="D54" s="11" t="s">
        <v>12</v>
      </c>
      <c r="E54" s="36">
        <v>1</v>
      </c>
      <c r="F54" s="11"/>
      <c r="G54" s="11"/>
      <c r="H54" s="11"/>
      <c r="I54" s="11"/>
      <c r="J54" s="12" t="s">
        <v>13</v>
      </c>
      <c r="K54" s="13" t="s">
        <v>104</v>
      </c>
    </row>
    <row r="55" spans="1:11" s="20" customFormat="1" ht="18" x14ac:dyDescent="0.25">
      <c r="A55" s="23"/>
      <c r="B55" s="16" t="s">
        <v>105</v>
      </c>
      <c r="C55" s="17">
        <f>SUM(E56:E79)</f>
        <v>34</v>
      </c>
      <c r="D55" s="17"/>
      <c r="E55" s="102"/>
      <c r="F55" s="17">
        <f>SUM(F56:F79)</f>
        <v>5</v>
      </c>
      <c r="G55" s="18"/>
      <c r="H55" s="18"/>
      <c r="I55" s="18"/>
      <c r="J55" s="18"/>
      <c r="K55" s="19"/>
    </row>
    <row r="56" spans="1:11" s="14" customFormat="1" ht="36" x14ac:dyDescent="0.25">
      <c r="A56" s="21">
        <v>50</v>
      </c>
      <c r="B56" s="13" t="s">
        <v>106</v>
      </c>
      <c r="C56" s="87"/>
      <c r="D56" s="11" t="s">
        <v>12</v>
      </c>
      <c r="E56" s="36">
        <v>1</v>
      </c>
      <c r="F56" s="11"/>
      <c r="G56" s="11"/>
      <c r="H56" s="11"/>
      <c r="I56" s="11"/>
      <c r="J56" s="12" t="s">
        <v>13</v>
      </c>
      <c r="K56" s="13" t="s">
        <v>17</v>
      </c>
    </row>
    <row r="57" spans="1:11" s="14" customFormat="1" ht="36" x14ac:dyDescent="0.25">
      <c r="A57" s="21">
        <v>51</v>
      </c>
      <c r="B57" s="13" t="s">
        <v>107</v>
      </c>
      <c r="C57" s="87"/>
      <c r="D57" s="11" t="s">
        <v>12</v>
      </c>
      <c r="E57" s="36">
        <v>6</v>
      </c>
      <c r="F57" s="11"/>
      <c r="G57" s="11"/>
      <c r="H57" s="11"/>
      <c r="I57" s="11"/>
      <c r="J57" s="12" t="s">
        <v>13</v>
      </c>
      <c r="K57" s="13" t="s">
        <v>17</v>
      </c>
    </row>
    <row r="58" spans="1:11" s="14" customFormat="1" ht="36" x14ac:dyDescent="0.25">
      <c r="A58" s="21">
        <v>52</v>
      </c>
      <c r="B58" s="13" t="s">
        <v>108</v>
      </c>
      <c r="C58" s="87"/>
      <c r="D58" s="11" t="s">
        <v>12</v>
      </c>
      <c r="E58" s="36">
        <v>2</v>
      </c>
      <c r="F58" s="11"/>
      <c r="G58" s="11"/>
      <c r="H58" s="11"/>
      <c r="I58" s="11"/>
      <c r="J58" s="12" t="s">
        <v>13</v>
      </c>
      <c r="K58" s="13" t="s">
        <v>17</v>
      </c>
    </row>
    <row r="59" spans="1:11" s="14" customFormat="1" ht="36" x14ac:dyDescent="0.25">
      <c r="A59" s="21">
        <v>53</v>
      </c>
      <c r="B59" s="13" t="s">
        <v>109</v>
      </c>
      <c r="C59" s="87"/>
      <c r="D59" s="11" t="s">
        <v>12</v>
      </c>
      <c r="E59" s="36">
        <v>1</v>
      </c>
      <c r="F59" s="11"/>
      <c r="G59" s="11"/>
      <c r="H59" s="11"/>
      <c r="I59" s="11"/>
      <c r="J59" s="12" t="s">
        <v>13</v>
      </c>
      <c r="K59" s="13" t="s">
        <v>17</v>
      </c>
    </row>
    <row r="60" spans="1:11" s="14" customFormat="1" ht="36" x14ac:dyDescent="0.25">
      <c r="A60" s="21">
        <v>54</v>
      </c>
      <c r="B60" s="13" t="s">
        <v>110</v>
      </c>
      <c r="C60" s="87"/>
      <c r="D60" s="11" t="s">
        <v>16</v>
      </c>
      <c r="E60" s="36">
        <v>0.5</v>
      </c>
      <c r="F60" s="11">
        <v>1</v>
      </c>
      <c r="G60" s="11" t="s">
        <v>92</v>
      </c>
      <c r="H60" s="22">
        <v>46037</v>
      </c>
      <c r="I60" s="22">
        <v>46064</v>
      </c>
      <c r="J60" s="12" t="s">
        <v>22</v>
      </c>
      <c r="K60" s="13" t="s">
        <v>26</v>
      </c>
    </row>
    <row r="61" spans="1:11" s="14" customFormat="1" ht="36" x14ac:dyDescent="0.25">
      <c r="A61" s="21">
        <v>55</v>
      </c>
      <c r="B61" s="13" t="s">
        <v>111</v>
      </c>
      <c r="C61" s="87"/>
      <c r="D61" s="11" t="s">
        <v>16</v>
      </c>
      <c r="E61" s="36">
        <v>0.5</v>
      </c>
      <c r="F61" s="11">
        <v>1</v>
      </c>
      <c r="G61" s="11" t="s">
        <v>92</v>
      </c>
      <c r="H61" s="22">
        <v>46027</v>
      </c>
      <c r="I61" s="22">
        <v>46064</v>
      </c>
      <c r="J61" s="12" t="s">
        <v>22</v>
      </c>
      <c r="K61" s="13" t="s">
        <v>26</v>
      </c>
    </row>
    <row r="62" spans="1:11" s="14" customFormat="1" ht="36" x14ac:dyDescent="0.25">
      <c r="A62" s="21">
        <v>56</v>
      </c>
      <c r="B62" s="13" t="s">
        <v>112</v>
      </c>
      <c r="C62" s="87"/>
      <c r="D62" s="11" t="s">
        <v>16</v>
      </c>
      <c r="E62" s="36">
        <v>0.5</v>
      </c>
      <c r="F62" s="11">
        <v>1</v>
      </c>
      <c r="G62" s="11" t="s">
        <v>92</v>
      </c>
      <c r="H62" s="22">
        <v>46027</v>
      </c>
      <c r="I62" s="22">
        <v>46064</v>
      </c>
      <c r="J62" s="12" t="s">
        <v>22</v>
      </c>
      <c r="K62" s="13" t="s">
        <v>26</v>
      </c>
    </row>
    <row r="63" spans="1:11" s="14" customFormat="1" ht="36" x14ac:dyDescent="0.25">
      <c r="A63" s="21">
        <v>57</v>
      </c>
      <c r="B63" s="13" t="s">
        <v>113</v>
      </c>
      <c r="C63" s="87"/>
      <c r="D63" s="11" t="s">
        <v>16</v>
      </c>
      <c r="E63" s="36">
        <v>0.5</v>
      </c>
      <c r="F63" s="11">
        <v>1</v>
      </c>
      <c r="G63" s="11" t="s">
        <v>92</v>
      </c>
      <c r="H63" s="22">
        <v>46027</v>
      </c>
      <c r="I63" s="22">
        <v>46064</v>
      </c>
      <c r="J63" s="12" t="s">
        <v>22</v>
      </c>
      <c r="K63" s="13" t="s">
        <v>26</v>
      </c>
    </row>
    <row r="64" spans="1:11" s="14" customFormat="1" ht="54" x14ac:dyDescent="0.25">
      <c r="A64" s="21">
        <v>58</v>
      </c>
      <c r="B64" s="13" t="s">
        <v>114</v>
      </c>
      <c r="C64" s="87"/>
      <c r="D64" s="11" t="s">
        <v>16</v>
      </c>
      <c r="E64" s="36">
        <v>0.5</v>
      </c>
      <c r="F64" s="11">
        <v>1</v>
      </c>
      <c r="G64" s="11" t="s">
        <v>92</v>
      </c>
      <c r="H64" s="22">
        <v>46027</v>
      </c>
      <c r="I64" s="22">
        <v>46064</v>
      </c>
      <c r="J64" s="12" t="s">
        <v>22</v>
      </c>
      <c r="K64" s="13" t="s">
        <v>26</v>
      </c>
    </row>
    <row r="65" spans="1:11" s="14" customFormat="1" ht="54" x14ac:dyDescent="0.25">
      <c r="A65" s="21">
        <v>59</v>
      </c>
      <c r="B65" s="13" t="s">
        <v>115</v>
      </c>
      <c r="C65" s="87"/>
      <c r="D65" s="11" t="s">
        <v>16</v>
      </c>
      <c r="E65" s="36">
        <v>0.5</v>
      </c>
      <c r="F65" s="11"/>
      <c r="G65" s="11"/>
      <c r="H65" s="11"/>
      <c r="I65" s="11"/>
      <c r="J65" s="12" t="s">
        <v>13</v>
      </c>
      <c r="K65" s="13" t="s">
        <v>17</v>
      </c>
    </row>
    <row r="66" spans="1:11" s="14" customFormat="1" ht="54" x14ac:dyDescent="0.25">
      <c r="A66" s="21">
        <v>60</v>
      </c>
      <c r="B66" s="13" t="s">
        <v>116</v>
      </c>
      <c r="C66" s="87"/>
      <c r="D66" s="11" t="s">
        <v>16</v>
      </c>
      <c r="E66" s="36">
        <v>0.5</v>
      </c>
      <c r="F66" s="11"/>
      <c r="G66" s="11"/>
      <c r="H66" s="11"/>
      <c r="I66" s="11"/>
      <c r="J66" s="12" t="s">
        <v>13</v>
      </c>
      <c r="K66" s="13" t="s">
        <v>17</v>
      </c>
    </row>
    <row r="67" spans="1:11" s="14" customFormat="1" ht="54" x14ac:dyDescent="0.25">
      <c r="A67" s="21">
        <v>61</v>
      </c>
      <c r="B67" s="13" t="s">
        <v>117</v>
      </c>
      <c r="C67" s="87"/>
      <c r="D67" s="11" t="s">
        <v>16</v>
      </c>
      <c r="E67" s="36">
        <v>0.5</v>
      </c>
      <c r="F67" s="11"/>
      <c r="G67" s="11"/>
      <c r="H67" s="11"/>
      <c r="I67" s="11"/>
      <c r="J67" s="12" t="s">
        <v>13</v>
      </c>
      <c r="K67" s="13" t="s">
        <v>17</v>
      </c>
    </row>
    <row r="68" spans="1:11" s="14" customFormat="1" ht="36" x14ac:dyDescent="0.25">
      <c r="A68" s="21">
        <v>62</v>
      </c>
      <c r="B68" s="13" t="s">
        <v>118</v>
      </c>
      <c r="C68" s="87"/>
      <c r="D68" s="11" t="s">
        <v>16</v>
      </c>
      <c r="E68" s="36">
        <v>2</v>
      </c>
      <c r="F68" s="11"/>
      <c r="G68" s="11"/>
      <c r="H68" s="11"/>
      <c r="I68" s="11"/>
      <c r="J68" s="12" t="s">
        <v>13</v>
      </c>
      <c r="K68" s="13" t="s">
        <v>17</v>
      </c>
    </row>
    <row r="69" spans="1:11" s="14" customFormat="1" ht="36" x14ac:dyDescent="0.25">
      <c r="A69" s="21">
        <v>63</v>
      </c>
      <c r="B69" s="13" t="s">
        <v>119</v>
      </c>
      <c r="C69" s="87"/>
      <c r="D69" s="11" t="s">
        <v>16</v>
      </c>
      <c r="E69" s="36">
        <v>2</v>
      </c>
      <c r="F69" s="11"/>
      <c r="G69" s="11"/>
      <c r="H69" s="11"/>
      <c r="I69" s="11"/>
      <c r="J69" s="12" t="s">
        <v>13</v>
      </c>
      <c r="K69" s="13" t="s">
        <v>17</v>
      </c>
    </row>
    <row r="70" spans="1:11" s="14" customFormat="1" ht="36" x14ac:dyDescent="0.25">
      <c r="A70" s="21">
        <v>64</v>
      </c>
      <c r="B70" s="13" t="s">
        <v>120</v>
      </c>
      <c r="C70" s="87"/>
      <c r="D70" s="11" t="s">
        <v>16</v>
      </c>
      <c r="E70" s="36">
        <v>1</v>
      </c>
      <c r="F70" s="11"/>
      <c r="G70" s="11"/>
      <c r="H70" s="11"/>
      <c r="I70" s="11"/>
      <c r="J70" s="12" t="s">
        <v>13</v>
      </c>
      <c r="K70" s="13" t="s">
        <v>17</v>
      </c>
    </row>
    <row r="71" spans="1:11" s="14" customFormat="1" ht="36" x14ac:dyDescent="0.25">
      <c r="A71" s="21">
        <v>65</v>
      </c>
      <c r="B71" s="13" t="s">
        <v>121</v>
      </c>
      <c r="C71" s="87"/>
      <c r="D71" s="11" t="s">
        <v>16</v>
      </c>
      <c r="E71" s="36">
        <v>1</v>
      </c>
      <c r="F71" s="11"/>
      <c r="G71" s="11"/>
      <c r="H71" s="11"/>
      <c r="I71" s="11"/>
      <c r="J71" s="12" t="s">
        <v>13</v>
      </c>
      <c r="K71" s="13" t="s">
        <v>17</v>
      </c>
    </row>
    <row r="72" spans="1:11" s="14" customFormat="1" ht="54" x14ac:dyDescent="0.25">
      <c r="A72" s="21">
        <v>66</v>
      </c>
      <c r="B72" s="13" t="s">
        <v>122</v>
      </c>
      <c r="C72" s="87"/>
      <c r="D72" s="11" t="s">
        <v>123</v>
      </c>
      <c r="E72" s="36">
        <v>2</v>
      </c>
      <c r="F72" s="11"/>
      <c r="G72" s="11"/>
      <c r="H72" s="11"/>
      <c r="I72" s="11"/>
      <c r="J72" s="12" t="s">
        <v>13</v>
      </c>
      <c r="K72" s="13" t="s">
        <v>17</v>
      </c>
    </row>
    <row r="73" spans="1:11" s="14" customFormat="1" ht="54" x14ac:dyDescent="0.25">
      <c r="A73" s="21">
        <v>67</v>
      </c>
      <c r="B73" s="13" t="s">
        <v>124</v>
      </c>
      <c r="C73" s="87"/>
      <c r="D73" s="11" t="s">
        <v>123</v>
      </c>
      <c r="E73" s="36">
        <v>2</v>
      </c>
      <c r="F73" s="11"/>
      <c r="G73" s="11"/>
      <c r="H73" s="11"/>
      <c r="I73" s="11"/>
      <c r="J73" s="12" t="s">
        <v>13</v>
      </c>
      <c r="K73" s="13" t="s">
        <v>17</v>
      </c>
    </row>
    <row r="74" spans="1:11" s="14" customFormat="1" ht="54" x14ac:dyDescent="0.25">
      <c r="A74" s="21">
        <v>68</v>
      </c>
      <c r="B74" s="13" t="s">
        <v>125</v>
      </c>
      <c r="C74" s="87"/>
      <c r="D74" s="11" t="s">
        <v>123</v>
      </c>
      <c r="E74" s="36">
        <v>2</v>
      </c>
      <c r="F74" s="11"/>
      <c r="G74" s="11"/>
      <c r="H74" s="11"/>
      <c r="I74" s="11"/>
      <c r="J74" s="12" t="s">
        <v>13</v>
      </c>
      <c r="K74" s="13" t="s">
        <v>126</v>
      </c>
    </row>
    <row r="75" spans="1:11" s="14" customFormat="1" ht="54" x14ac:dyDescent="0.25">
      <c r="A75" s="21">
        <v>69</v>
      </c>
      <c r="B75" s="13" t="s">
        <v>127</v>
      </c>
      <c r="C75" s="87"/>
      <c r="D75" s="11" t="s">
        <v>12</v>
      </c>
      <c r="E75" s="36">
        <v>1</v>
      </c>
      <c r="F75" s="11"/>
      <c r="G75" s="11"/>
      <c r="H75" s="11"/>
      <c r="I75" s="11"/>
      <c r="J75" s="12" t="s">
        <v>13</v>
      </c>
      <c r="K75" s="13" t="s">
        <v>128</v>
      </c>
    </row>
    <row r="76" spans="1:11" s="14" customFormat="1" ht="54" x14ac:dyDescent="0.25">
      <c r="A76" s="21">
        <v>70</v>
      </c>
      <c r="B76" s="13" t="s">
        <v>129</v>
      </c>
      <c r="C76" s="87"/>
      <c r="D76" s="11" t="s">
        <v>123</v>
      </c>
      <c r="E76" s="36">
        <v>2</v>
      </c>
      <c r="F76" s="11"/>
      <c r="G76" s="11"/>
      <c r="H76" s="11"/>
      <c r="I76" s="11"/>
      <c r="J76" s="12" t="s">
        <v>13</v>
      </c>
      <c r="K76" s="13" t="s">
        <v>130</v>
      </c>
    </row>
    <row r="77" spans="1:11" s="14" customFormat="1" ht="54" x14ac:dyDescent="0.25">
      <c r="A77" s="21">
        <v>71</v>
      </c>
      <c r="B77" s="13" t="s">
        <v>131</v>
      </c>
      <c r="C77" s="87"/>
      <c r="D77" s="11" t="s">
        <v>12</v>
      </c>
      <c r="E77" s="36">
        <v>1</v>
      </c>
      <c r="F77" s="11"/>
      <c r="G77" s="11"/>
      <c r="H77" s="11"/>
      <c r="I77" s="11"/>
      <c r="J77" s="12" t="s">
        <v>13</v>
      </c>
      <c r="K77" s="13" t="s">
        <v>132</v>
      </c>
    </row>
    <row r="78" spans="1:11" s="14" customFormat="1" ht="72" x14ac:dyDescent="0.25">
      <c r="A78" s="21">
        <v>72</v>
      </c>
      <c r="B78" s="13" t="s">
        <v>133</v>
      </c>
      <c r="C78" s="87"/>
      <c r="D78" s="11" t="s">
        <v>12</v>
      </c>
      <c r="E78" s="36">
        <v>2</v>
      </c>
      <c r="F78" s="11"/>
      <c r="G78" s="11"/>
      <c r="H78" s="11"/>
      <c r="I78" s="11"/>
      <c r="J78" s="12" t="s">
        <v>13</v>
      </c>
      <c r="K78" s="13" t="s">
        <v>134</v>
      </c>
    </row>
    <row r="79" spans="1:11" s="14" customFormat="1" ht="36" x14ac:dyDescent="0.25">
      <c r="A79" s="21">
        <v>73</v>
      </c>
      <c r="B79" s="13" t="s">
        <v>135</v>
      </c>
      <c r="C79" s="87"/>
      <c r="D79" s="11" t="s">
        <v>12</v>
      </c>
      <c r="E79" s="36">
        <v>2</v>
      </c>
      <c r="F79" s="11"/>
      <c r="G79" s="11"/>
      <c r="H79" s="11"/>
      <c r="I79" s="11"/>
      <c r="J79" s="12" t="s">
        <v>13</v>
      </c>
      <c r="K79" s="13" t="s">
        <v>17</v>
      </c>
    </row>
    <row r="80" spans="1:11" s="20" customFormat="1" ht="18" x14ac:dyDescent="0.25">
      <c r="A80" s="23"/>
      <c r="B80" s="16" t="s">
        <v>136</v>
      </c>
      <c r="C80" s="17">
        <f>SUM(E81:E88)</f>
        <v>38.839999999999996</v>
      </c>
      <c r="D80" s="17"/>
      <c r="E80" s="102"/>
      <c r="F80" s="17">
        <f>SUM(F81:F88)</f>
        <v>60</v>
      </c>
      <c r="G80" s="18"/>
      <c r="H80" s="18"/>
      <c r="I80" s="18"/>
      <c r="J80" s="18"/>
      <c r="K80" s="19"/>
    </row>
    <row r="81" spans="1:11" s="14" customFormat="1" ht="54" customHeight="1" x14ac:dyDescent="0.25">
      <c r="A81" s="21">
        <v>74</v>
      </c>
      <c r="B81" s="13" t="s">
        <v>137</v>
      </c>
      <c r="C81" s="100"/>
      <c r="D81" s="11" t="s">
        <v>12</v>
      </c>
      <c r="E81" s="36">
        <v>4</v>
      </c>
      <c r="F81" s="11"/>
      <c r="G81" s="11"/>
      <c r="H81" s="11"/>
      <c r="I81" s="11"/>
      <c r="J81" s="12" t="s">
        <v>13</v>
      </c>
      <c r="K81" s="13" t="s">
        <v>138</v>
      </c>
    </row>
    <row r="82" spans="1:11" s="14" customFormat="1" ht="36" x14ac:dyDescent="0.25">
      <c r="A82" s="21">
        <v>75</v>
      </c>
      <c r="B82" s="13" t="s">
        <v>139</v>
      </c>
      <c r="C82" s="100"/>
      <c r="D82" s="11" t="s">
        <v>12</v>
      </c>
      <c r="E82" s="36">
        <v>3.04</v>
      </c>
      <c r="F82" s="11"/>
      <c r="G82" s="11"/>
      <c r="H82" s="11"/>
      <c r="I82" s="11"/>
      <c r="J82" s="12" t="s">
        <v>13</v>
      </c>
      <c r="K82" s="13" t="s">
        <v>140</v>
      </c>
    </row>
    <row r="83" spans="1:11" s="14" customFormat="1" ht="72" x14ac:dyDescent="0.25">
      <c r="A83" s="21">
        <v>76</v>
      </c>
      <c r="B83" s="13" t="s">
        <v>141</v>
      </c>
      <c r="C83" s="100"/>
      <c r="D83" s="11" t="s">
        <v>16</v>
      </c>
      <c r="E83" s="36">
        <v>1</v>
      </c>
      <c r="F83" s="11"/>
      <c r="G83" s="11"/>
      <c r="H83" s="11"/>
      <c r="I83" s="11"/>
      <c r="J83" s="12" t="s">
        <v>13</v>
      </c>
      <c r="K83" s="13" t="s">
        <v>142</v>
      </c>
    </row>
    <row r="84" spans="1:11" s="14" customFormat="1" ht="72" x14ac:dyDescent="0.25">
      <c r="A84" s="21">
        <v>77</v>
      </c>
      <c r="B84" s="13" t="s">
        <v>143</v>
      </c>
      <c r="C84" s="100"/>
      <c r="D84" s="11" t="s">
        <v>16</v>
      </c>
      <c r="E84" s="36">
        <v>1</v>
      </c>
      <c r="F84" s="11"/>
      <c r="G84" s="11"/>
      <c r="H84" s="11"/>
      <c r="I84" s="11"/>
      <c r="J84" s="12" t="s">
        <v>13</v>
      </c>
      <c r="K84" s="13" t="s">
        <v>144</v>
      </c>
    </row>
    <row r="85" spans="1:11" s="14" customFormat="1" ht="54" x14ac:dyDescent="0.25">
      <c r="A85" s="21">
        <v>78</v>
      </c>
      <c r="B85" s="13" t="s">
        <v>145</v>
      </c>
      <c r="C85" s="100"/>
      <c r="D85" s="11" t="s">
        <v>16</v>
      </c>
      <c r="E85" s="36">
        <v>1</v>
      </c>
      <c r="F85" s="11"/>
      <c r="G85" s="11"/>
      <c r="H85" s="11"/>
      <c r="I85" s="11"/>
      <c r="J85" s="12" t="s">
        <v>13</v>
      </c>
      <c r="K85" s="13" t="s">
        <v>146</v>
      </c>
    </row>
    <row r="86" spans="1:11" s="14" customFormat="1" ht="90" x14ac:dyDescent="0.25">
      <c r="A86" s="21">
        <v>79</v>
      </c>
      <c r="B86" s="13" t="s">
        <v>147</v>
      </c>
      <c r="C86" s="100"/>
      <c r="D86" s="11" t="s">
        <v>16</v>
      </c>
      <c r="E86" s="36">
        <v>27</v>
      </c>
      <c r="F86" s="11">
        <v>58</v>
      </c>
      <c r="G86" s="11" t="s">
        <v>148</v>
      </c>
      <c r="H86" s="22">
        <v>45972</v>
      </c>
      <c r="I86" s="22">
        <v>46002</v>
      </c>
      <c r="J86" s="12" t="s">
        <v>22</v>
      </c>
      <c r="K86" s="13" t="s">
        <v>149</v>
      </c>
    </row>
    <row r="87" spans="1:11" s="14" customFormat="1" ht="160.35" customHeight="1" x14ac:dyDescent="0.25">
      <c r="A87" s="21">
        <v>80</v>
      </c>
      <c r="B87" s="13" t="s">
        <v>150</v>
      </c>
      <c r="C87" s="100"/>
      <c r="D87" s="11" t="s">
        <v>16</v>
      </c>
      <c r="E87" s="36">
        <v>1</v>
      </c>
      <c r="F87" s="11">
        <v>2</v>
      </c>
      <c r="G87" s="11" t="s">
        <v>32</v>
      </c>
      <c r="H87" s="22">
        <v>45972</v>
      </c>
      <c r="I87" s="22">
        <v>45988</v>
      </c>
      <c r="J87" s="12" t="s">
        <v>22</v>
      </c>
      <c r="K87" s="13" t="s">
        <v>151</v>
      </c>
    </row>
    <row r="88" spans="1:11" s="14" customFormat="1" ht="18" x14ac:dyDescent="0.25">
      <c r="A88" s="21">
        <v>81</v>
      </c>
      <c r="B88" s="13" t="s">
        <v>152</v>
      </c>
      <c r="C88" s="100"/>
      <c r="D88" s="11" t="s">
        <v>12</v>
      </c>
      <c r="E88" s="36">
        <v>0.8</v>
      </c>
      <c r="F88" s="11"/>
      <c r="G88" s="11"/>
      <c r="H88" s="11"/>
      <c r="I88" s="11"/>
      <c r="J88" s="12" t="s">
        <v>13</v>
      </c>
      <c r="K88" s="13" t="s">
        <v>26</v>
      </c>
    </row>
    <row r="89" spans="1:11" s="20" customFormat="1" ht="18" x14ac:dyDescent="0.25">
      <c r="A89" s="23"/>
      <c r="B89" s="16" t="s">
        <v>153</v>
      </c>
      <c r="C89" s="17">
        <f>SUM(E90:E137)</f>
        <v>72.649999999999977</v>
      </c>
      <c r="D89" s="17"/>
      <c r="E89" s="102"/>
      <c r="F89" s="17">
        <f>SUM(F90:F137)</f>
        <v>64.449999999999989</v>
      </c>
      <c r="G89" s="18"/>
      <c r="H89" s="18"/>
      <c r="I89" s="18"/>
      <c r="J89" s="18"/>
      <c r="K89" s="19"/>
    </row>
    <row r="90" spans="1:11" s="14" customFormat="1" ht="36" x14ac:dyDescent="0.25">
      <c r="A90" s="21">
        <v>82</v>
      </c>
      <c r="B90" s="13" t="s">
        <v>154</v>
      </c>
      <c r="C90" s="86"/>
      <c r="D90" s="11" t="s">
        <v>12</v>
      </c>
      <c r="E90" s="36">
        <v>5</v>
      </c>
      <c r="F90" s="11">
        <v>0.5</v>
      </c>
      <c r="G90" s="11" t="s">
        <v>21</v>
      </c>
      <c r="H90" s="22">
        <v>45971</v>
      </c>
      <c r="I90" s="22">
        <v>46052</v>
      </c>
      <c r="J90" s="12" t="s">
        <v>22</v>
      </c>
      <c r="K90" s="13" t="s">
        <v>17</v>
      </c>
    </row>
    <row r="91" spans="1:11" s="14" customFormat="1" ht="54" x14ac:dyDescent="0.25">
      <c r="A91" s="21">
        <v>83</v>
      </c>
      <c r="B91" s="13" t="s">
        <v>155</v>
      </c>
      <c r="C91" s="86"/>
      <c r="D91" s="11" t="s">
        <v>12</v>
      </c>
      <c r="E91" s="36">
        <v>2</v>
      </c>
      <c r="F91" s="11">
        <v>1.5</v>
      </c>
      <c r="G91" s="11" t="s">
        <v>21</v>
      </c>
      <c r="H91" s="22">
        <v>45999</v>
      </c>
      <c r="I91" s="22">
        <v>46013</v>
      </c>
      <c r="J91" s="12" t="s">
        <v>22</v>
      </c>
      <c r="K91" s="13" t="s">
        <v>17</v>
      </c>
    </row>
    <row r="92" spans="1:11" s="14" customFormat="1" ht="36" x14ac:dyDescent="0.25">
      <c r="A92" s="21">
        <v>84</v>
      </c>
      <c r="B92" s="13" t="s">
        <v>156</v>
      </c>
      <c r="C92" s="86"/>
      <c r="D92" s="11" t="s">
        <v>16</v>
      </c>
      <c r="E92" s="36">
        <v>0.7</v>
      </c>
      <c r="F92" s="11">
        <v>2</v>
      </c>
      <c r="G92" s="11" t="s">
        <v>32</v>
      </c>
      <c r="H92" s="22">
        <v>45972</v>
      </c>
      <c r="I92" s="22">
        <v>45986</v>
      </c>
      <c r="J92" s="12" t="s">
        <v>22</v>
      </c>
      <c r="K92" s="13" t="s">
        <v>17</v>
      </c>
    </row>
    <row r="93" spans="1:11" s="14" customFormat="1" ht="36" x14ac:dyDescent="0.25">
      <c r="A93" s="21">
        <v>85</v>
      </c>
      <c r="B93" s="13" t="s">
        <v>157</v>
      </c>
      <c r="C93" s="86"/>
      <c r="D93" s="11" t="s">
        <v>16</v>
      </c>
      <c r="E93" s="36">
        <v>0.5</v>
      </c>
      <c r="F93" s="11">
        <v>1.2</v>
      </c>
      <c r="G93" s="11" t="s">
        <v>32</v>
      </c>
      <c r="H93" s="22">
        <v>45972</v>
      </c>
      <c r="I93" s="22">
        <v>45988</v>
      </c>
      <c r="J93" s="12" t="s">
        <v>22</v>
      </c>
      <c r="K93" s="13" t="s">
        <v>17</v>
      </c>
    </row>
    <row r="94" spans="1:11" s="14" customFormat="1" ht="54" x14ac:dyDescent="0.25">
      <c r="A94" s="21">
        <v>86</v>
      </c>
      <c r="B94" s="13" t="s">
        <v>158</v>
      </c>
      <c r="C94" s="86"/>
      <c r="D94" s="11" t="s">
        <v>12</v>
      </c>
      <c r="E94" s="36">
        <v>2</v>
      </c>
      <c r="F94" s="11"/>
      <c r="G94" s="11"/>
      <c r="H94" s="11"/>
      <c r="I94" s="11"/>
      <c r="J94" s="12" t="s">
        <v>13</v>
      </c>
      <c r="K94" s="13" t="s">
        <v>17</v>
      </c>
    </row>
    <row r="95" spans="1:11" s="14" customFormat="1" ht="36" x14ac:dyDescent="0.25">
      <c r="A95" s="21">
        <v>87</v>
      </c>
      <c r="B95" s="13" t="s">
        <v>159</v>
      </c>
      <c r="C95" s="86"/>
      <c r="D95" s="11" t="s">
        <v>12</v>
      </c>
      <c r="E95" s="36">
        <v>2</v>
      </c>
      <c r="F95" s="11"/>
      <c r="G95" s="11"/>
      <c r="H95" s="11"/>
      <c r="I95" s="11"/>
      <c r="J95" s="12" t="s">
        <v>13</v>
      </c>
      <c r="K95" s="13" t="s">
        <v>17</v>
      </c>
    </row>
    <row r="96" spans="1:11" s="14" customFormat="1" ht="54" x14ac:dyDescent="0.25">
      <c r="A96" s="21">
        <v>88</v>
      </c>
      <c r="B96" s="13" t="s">
        <v>160</v>
      </c>
      <c r="C96" s="86"/>
      <c r="D96" s="11" t="s">
        <v>12</v>
      </c>
      <c r="E96" s="36">
        <v>2</v>
      </c>
      <c r="F96" s="11">
        <v>2</v>
      </c>
      <c r="G96" s="11" t="s">
        <v>25</v>
      </c>
      <c r="H96" s="22">
        <v>46044</v>
      </c>
      <c r="I96" s="22">
        <v>46045</v>
      </c>
      <c r="J96" s="12" t="s">
        <v>22</v>
      </c>
      <c r="K96" s="13" t="s">
        <v>17</v>
      </c>
    </row>
    <row r="97" spans="1:11" s="14" customFormat="1" ht="36" x14ac:dyDescent="0.25">
      <c r="A97" s="21">
        <v>89</v>
      </c>
      <c r="B97" s="13" t="s">
        <v>161</v>
      </c>
      <c r="C97" s="86"/>
      <c r="D97" s="11" t="s">
        <v>12</v>
      </c>
      <c r="E97" s="36">
        <v>1</v>
      </c>
      <c r="F97" s="11">
        <v>8</v>
      </c>
      <c r="G97" s="11" t="s">
        <v>25</v>
      </c>
      <c r="H97" s="22">
        <v>46044</v>
      </c>
      <c r="I97" s="22">
        <v>46045</v>
      </c>
      <c r="J97" s="12" t="s">
        <v>22</v>
      </c>
      <c r="K97" s="13" t="s">
        <v>17</v>
      </c>
    </row>
    <row r="98" spans="1:11" s="14" customFormat="1" ht="54" x14ac:dyDescent="0.25">
      <c r="A98" s="21">
        <v>90</v>
      </c>
      <c r="B98" s="13" t="s">
        <v>162</v>
      </c>
      <c r="C98" s="86"/>
      <c r="D98" s="11" t="s">
        <v>12</v>
      </c>
      <c r="E98" s="36">
        <v>1</v>
      </c>
      <c r="F98" s="11">
        <v>0.25</v>
      </c>
      <c r="G98" s="11" t="s">
        <v>163</v>
      </c>
      <c r="H98" s="22">
        <v>46030</v>
      </c>
      <c r="I98" s="22">
        <v>46069</v>
      </c>
      <c r="J98" s="12" t="s">
        <v>22</v>
      </c>
      <c r="K98" s="13" t="s">
        <v>17</v>
      </c>
    </row>
    <row r="99" spans="1:11" s="14" customFormat="1" ht="36" x14ac:dyDescent="0.25">
      <c r="A99" s="21">
        <v>91</v>
      </c>
      <c r="B99" s="13" t="s">
        <v>164</v>
      </c>
      <c r="C99" s="86"/>
      <c r="D99" s="11" t="s">
        <v>12</v>
      </c>
      <c r="E99" s="36">
        <v>2</v>
      </c>
      <c r="F99" s="11">
        <v>1.5</v>
      </c>
      <c r="G99" s="11" t="s">
        <v>21</v>
      </c>
      <c r="H99" s="22">
        <v>46011</v>
      </c>
      <c r="I99" s="22">
        <v>46014</v>
      </c>
      <c r="J99" s="12" t="s">
        <v>22</v>
      </c>
      <c r="K99" s="13" t="s">
        <v>165</v>
      </c>
    </row>
    <row r="100" spans="1:11" s="14" customFormat="1" ht="36" x14ac:dyDescent="0.25">
      <c r="A100" s="21">
        <v>92</v>
      </c>
      <c r="B100" s="13" t="s">
        <v>166</v>
      </c>
      <c r="C100" s="86"/>
      <c r="D100" s="11" t="s">
        <v>12</v>
      </c>
      <c r="E100" s="36">
        <v>2</v>
      </c>
      <c r="F100" s="11">
        <v>1.5</v>
      </c>
      <c r="G100" s="11" t="s">
        <v>21</v>
      </c>
      <c r="H100" s="22">
        <v>46011</v>
      </c>
      <c r="I100" s="22">
        <v>46014</v>
      </c>
      <c r="J100" s="12" t="s">
        <v>22</v>
      </c>
      <c r="K100" s="13" t="s">
        <v>167</v>
      </c>
    </row>
    <row r="101" spans="1:11" s="14" customFormat="1" ht="36" x14ac:dyDescent="0.25">
      <c r="A101" s="21">
        <v>93</v>
      </c>
      <c r="B101" s="13" t="s">
        <v>168</v>
      </c>
      <c r="C101" s="86"/>
      <c r="D101" s="11" t="s">
        <v>12</v>
      </c>
      <c r="E101" s="36">
        <v>0.8</v>
      </c>
      <c r="F101" s="11"/>
      <c r="G101" s="11"/>
      <c r="H101" s="11"/>
      <c r="I101" s="11"/>
      <c r="J101" s="12" t="s">
        <v>13</v>
      </c>
      <c r="K101" s="13" t="s">
        <v>169</v>
      </c>
    </row>
    <row r="102" spans="1:11" s="14" customFormat="1" ht="36" x14ac:dyDescent="0.25">
      <c r="A102" s="21">
        <v>94</v>
      </c>
      <c r="B102" s="13" t="s">
        <v>170</v>
      </c>
      <c r="C102" s="86"/>
      <c r="D102" s="11" t="s">
        <v>12</v>
      </c>
      <c r="E102" s="36">
        <v>0.8</v>
      </c>
      <c r="F102" s="11"/>
      <c r="G102" s="11"/>
      <c r="H102" s="11"/>
      <c r="I102" s="11"/>
      <c r="J102" s="12" t="s">
        <v>13</v>
      </c>
      <c r="K102" s="13" t="s">
        <v>171</v>
      </c>
    </row>
    <row r="103" spans="1:11" s="14" customFormat="1" ht="36" x14ac:dyDescent="0.25">
      <c r="A103" s="21">
        <v>95</v>
      </c>
      <c r="B103" s="13" t="s">
        <v>172</v>
      </c>
      <c r="C103" s="86"/>
      <c r="D103" s="11" t="s">
        <v>12</v>
      </c>
      <c r="E103" s="36">
        <v>2</v>
      </c>
      <c r="F103" s="11"/>
      <c r="G103" s="11"/>
      <c r="H103" s="11"/>
      <c r="I103" s="11"/>
      <c r="J103" s="12" t="s">
        <v>13</v>
      </c>
      <c r="K103" s="13" t="s">
        <v>173</v>
      </c>
    </row>
    <row r="104" spans="1:11" s="14" customFormat="1" ht="18" x14ac:dyDescent="0.25">
      <c r="A104" s="21">
        <v>96</v>
      </c>
      <c r="B104" s="13" t="s">
        <v>174</v>
      </c>
      <c r="C104" s="86"/>
      <c r="D104" s="11" t="s">
        <v>12</v>
      </c>
      <c r="E104" s="36">
        <v>0.8</v>
      </c>
      <c r="F104" s="11"/>
      <c r="G104" s="11"/>
      <c r="H104" s="11"/>
      <c r="I104" s="11"/>
      <c r="J104" s="12" t="s">
        <v>13</v>
      </c>
      <c r="K104" s="13" t="s">
        <v>175</v>
      </c>
    </row>
    <row r="105" spans="1:11" s="14" customFormat="1" ht="36" x14ac:dyDescent="0.25">
      <c r="A105" s="21">
        <v>97</v>
      </c>
      <c r="B105" s="13" t="s">
        <v>176</v>
      </c>
      <c r="C105" s="86"/>
      <c r="D105" s="11" t="s">
        <v>12</v>
      </c>
      <c r="E105" s="36">
        <v>0.5</v>
      </c>
      <c r="F105" s="11">
        <v>0.5</v>
      </c>
      <c r="G105" s="11" t="s">
        <v>21</v>
      </c>
      <c r="H105" s="22">
        <v>45980</v>
      </c>
      <c r="I105" s="22">
        <v>45986</v>
      </c>
      <c r="J105" s="12" t="s">
        <v>22</v>
      </c>
      <c r="K105" s="13" t="s">
        <v>177</v>
      </c>
    </row>
    <row r="106" spans="1:11" s="14" customFormat="1" ht="36" x14ac:dyDescent="0.25">
      <c r="A106" s="21">
        <v>98</v>
      </c>
      <c r="B106" s="13" t="s">
        <v>178</v>
      </c>
      <c r="C106" s="86"/>
      <c r="D106" s="11" t="s">
        <v>12</v>
      </c>
      <c r="E106" s="36">
        <v>0.5</v>
      </c>
      <c r="F106" s="11">
        <v>1.5</v>
      </c>
      <c r="G106" s="11" t="s">
        <v>25</v>
      </c>
      <c r="H106" s="22">
        <v>45979</v>
      </c>
      <c r="I106" s="22">
        <v>45981</v>
      </c>
      <c r="J106" s="12" t="s">
        <v>22</v>
      </c>
      <c r="K106" s="13" t="s">
        <v>179</v>
      </c>
    </row>
    <row r="107" spans="1:11" s="14" customFormat="1" ht="72" x14ac:dyDescent="0.25">
      <c r="A107" s="21">
        <v>99</v>
      </c>
      <c r="B107" s="13" t="s">
        <v>180</v>
      </c>
      <c r="C107" s="86"/>
      <c r="D107" s="11" t="s">
        <v>12</v>
      </c>
      <c r="E107" s="36">
        <v>0.8</v>
      </c>
      <c r="F107" s="11">
        <v>1.5</v>
      </c>
      <c r="G107" s="11" t="s">
        <v>25</v>
      </c>
      <c r="H107" s="22">
        <v>45971</v>
      </c>
      <c r="I107" s="22">
        <v>45981</v>
      </c>
      <c r="J107" s="12" t="s">
        <v>22</v>
      </c>
      <c r="K107" s="13" t="s">
        <v>181</v>
      </c>
    </row>
    <row r="108" spans="1:11" s="14" customFormat="1" ht="72" x14ac:dyDescent="0.25">
      <c r="A108" s="21">
        <v>100</v>
      </c>
      <c r="B108" s="13" t="s">
        <v>182</v>
      </c>
      <c r="C108" s="86"/>
      <c r="D108" s="11" t="s">
        <v>12</v>
      </c>
      <c r="E108" s="36">
        <v>0.8</v>
      </c>
      <c r="F108" s="11">
        <v>0.8</v>
      </c>
      <c r="G108" s="11" t="s">
        <v>21</v>
      </c>
      <c r="H108" s="22">
        <v>45971</v>
      </c>
      <c r="I108" s="22">
        <v>45986</v>
      </c>
      <c r="J108" s="12" t="s">
        <v>22</v>
      </c>
      <c r="K108" s="13" t="s">
        <v>183</v>
      </c>
    </row>
    <row r="109" spans="1:11" s="14" customFormat="1" ht="72" x14ac:dyDescent="0.25">
      <c r="A109" s="21">
        <v>101</v>
      </c>
      <c r="B109" s="13" t="s">
        <v>184</v>
      </c>
      <c r="C109" s="86"/>
      <c r="D109" s="11" t="s">
        <v>12</v>
      </c>
      <c r="E109" s="36">
        <v>0.8</v>
      </c>
      <c r="F109" s="11">
        <v>1</v>
      </c>
      <c r="G109" s="11" t="s">
        <v>25</v>
      </c>
      <c r="H109" s="22">
        <v>45971</v>
      </c>
      <c r="I109" s="22">
        <v>46002</v>
      </c>
      <c r="J109" s="12" t="s">
        <v>22</v>
      </c>
      <c r="K109" s="13" t="s">
        <v>185</v>
      </c>
    </row>
    <row r="110" spans="1:11" s="14" customFormat="1" ht="18" x14ac:dyDescent="0.25">
      <c r="A110" s="21">
        <v>102</v>
      </c>
      <c r="B110" s="13" t="s">
        <v>186</v>
      </c>
      <c r="C110" s="86"/>
      <c r="D110" s="11" t="s">
        <v>12</v>
      </c>
      <c r="E110" s="36"/>
      <c r="F110" s="11">
        <v>3</v>
      </c>
      <c r="G110" s="11" t="s">
        <v>25</v>
      </c>
      <c r="H110" s="11" t="s">
        <v>187</v>
      </c>
      <c r="I110" s="22">
        <v>46013</v>
      </c>
      <c r="J110" s="12" t="s">
        <v>22</v>
      </c>
      <c r="K110" s="13" t="s">
        <v>188</v>
      </c>
    </row>
    <row r="111" spans="1:11" s="14" customFormat="1" ht="90" x14ac:dyDescent="0.25">
      <c r="A111" s="21">
        <v>103</v>
      </c>
      <c r="B111" s="13" t="s">
        <v>189</v>
      </c>
      <c r="C111" s="86"/>
      <c r="D111" s="11" t="s">
        <v>12</v>
      </c>
      <c r="E111" s="36">
        <v>0.8</v>
      </c>
      <c r="F111" s="11">
        <v>3</v>
      </c>
      <c r="G111" s="11" t="s">
        <v>25</v>
      </c>
      <c r="H111" s="22">
        <v>46028</v>
      </c>
      <c r="I111" s="22">
        <v>46043</v>
      </c>
      <c r="J111" s="12" t="s">
        <v>22</v>
      </c>
      <c r="K111" s="13" t="s">
        <v>190</v>
      </c>
    </row>
    <row r="112" spans="1:11" s="14" customFormat="1" ht="54" x14ac:dyDescent="0.25">
      <c r="A112" s="21">
        <v>104</v>
      </c>
      <c r="B112" s="13" t="s">
        <v>191</v>
      </c>
      <c r="C112" s="86"/>
      <c r="D112" s="11" t="s">
        <v>12</v>
      </c>
      <c r="E112" s="36">
        <v>0.95</v>
      </c>
      <c r="F112" s="11"/>
      <c r="G112" s="11"/>
      <c r="H112" s="11"/>
      <c r="I112" s="11"/>
      <c r="J112" s="12" t="s">
        <v>13</v>
      </c>
      <c r="K112" s="13" t="s">
        <v>192</v>
      </c>
    </row>
    <row r="113" spans="1:11" s="14" customFormat="1" ht="54" x14ac:dyDescent="0.25">
      <c r="A113" s="21">
        <v>105</v>
      </c>
      <c r="B113" s="13" t="s">
        <v>193</v>
      </c>
      <c r="C113" s="86"/>
      <c r="D113" s="11" t="s">
        <v>12</v>
      </c>
      <c r="E113" s="36">
        <v>1</v>
      </c>
      <c r="F113" s="11"/>
      <c r="G113" s="11"/>
      <c r="H113" s="11"/>
      <c r="I113" s="11"/>
      <c r="J113" s="12" t="s">
        <v>13</v>
      </c>
      <c r="K113" s="13" t="s">
        <v>194</v>
      </c>
    </row>
    <row r="114" spans="1:11" s="14" customFormat="1" ht="72" x14ac:dyDescent="0.25">
      <c r="A114" s="21">
        <v>106</v>
      </c>
      <c r="B114" s="13" t="s">
        <v>195</v>
      </c>
      <c r="C114" s="86"/>
      <c r="D114" s="11" t="s">
        <v>12</v>
      </c>
      <c r="E114" s="36">
        <v>0.5</v>
      </c>
      <c r="F114" s="11">
        <v>3</v>
      </c>
      <c r="G114" s="11" t="s">
        <v>25</v>
      </c>
      <c r="H114" s="22">
        <v>45981</v>
      </c>
      <c r="I114" s="22">
        <v>45981</v>
      </c>
      <c r="J114" s="12" t="s">
        <v>22</v>
      </c>
      <c r="K114" s="13" t="s">
        <v>196</v>
      </c>
    </row>
    <row r="115" spans="1:11" s="14" customFormat="1" ht="72" x14ac:dyDescent="0.25">
      <c r="A115" s="21">
        <v>107</v>
      </c>
      <c r="B115" s="13" t="s">
        <v>197</v>
      </c>
      <c r="C115" s="86"/>
      <c r="D115" s="11" t="s">
        <v>12</v>
      </c>
      <c r="E115" s="36">
        <v>0.8</v>
      </c>
      <c r="F115" s="11">
        <v>0.8</v>
      </c>
      <c r="G115" s="11" t="s">
        <v>21</v>
      </c>
      <c r="H115" s="22">
        <v>45980</v>
      </c>
      <c r="I115" s="22">
        <v>45986</v>
      </c>
      <c r="J115" s="12" t="s">
        <v>22</v>
      </c>
      <c r="K115" s="13" t="s">
        <v>198</v>
      </c>
    </row>
    <row r="116" spans="1:11" s="14" customFormat="1" ht="72" x14ac:dyDescent="0.25">
      <c r="A116" s="21">
        <v>108</v>
      </c>
      <c r="B116" s="13" t="s">
        <v>199</v>
      </c>
      <c r="C116" s="86"/>
      <c r="D116" s="11" t="s">
        <v>12</v>
      </c>
      <c r="E116" s="36">
        <v>0.8</v>
      </c>
      <c r="F116" s="11">
        <v>0.8</v>
      </c>
      <c r="G116" s="11" t="s">
        <v>21</v>
      </c>
      <c r="H116" s="22">
        <v>45971</v>
      </c>
      <c r="I116" s="22">
        <v>45986</v>
      </c>
      <c r="J116" s="12" t="s">
        <v>22</v>
      </c>
      <c r="K116" s="13" t="s">
        <v>200</v>
      </c>
    </row>
    <row r="117" spans="1:11" s="14" customFormat="1" ht="72" x14ac:dyDescent="0.25">
      <c r="A117" s="21">
        <v>109</v>
      </c>
      <c r="B117" s="13" t="s">
        <v>201</v>
      </c>
      <c r="C117" s="86"/>
      <c r="D117" s="11" t="s">
        <v>12</v>
      </c>
      <c r="E117" s="36">
        <v>0.8</v>
      </c>
      <c r="F117" s="11">
        <v>0.5</v>
      </c>
      <c r="G117" s="11" t="s">
        <v>21</v>
      </c>
      <c r="H117" s="22">
        <v>45972</v>
      </c>
      <c r="I117" s="22">
        <v>45986</v>
      </c>
      <c r="J117" s="12" t="s">
        <v>22</v>
      </c>
      <c r="K117" s="13" t="s">
        <v>202</v>
      </c>
    </row>
    <row r="118" spans="1:11" s="14" customFormat="1" ht="72" x14ac:dyDescent="0.25">
      <c r="A118" s="21">
        <v>110</v>
      </c>
      <c r="B118" s="13" t="s">
        <v>203</v>
      </c>
      <c r="C118" s="86"/>
      <c r="D118" s="11" t="s">
        <v>12</v>
      </c>
      <c r="E118" s="36">
        <v>0.8</v>
      </c>
      <c r="F118" s="11">
        <v>0.8</v>
      </c>
      <c r="G118" s="11" t="s">
        <v>25</v>
      </c>
      <c r="H118" s="22">
        <v>45971</v>
      </c>
      <c r="I118" s="22">
        <v>45981</v>
      </c>
      <c r="J118" s="12" t="s">
        <v>22</v>
      </c>
      <c r="K118" s="13" t="s">
        <v>204</v>
      </c>
    </row>
    <row r="119" spans="1:11" s="14" customFormat="1" ht="54" x14ac:dyDescent="0.25">
      <c r="A119" s="21">
        <v>111</v>
      </c>
      <c r="B119" s="13" t="s">
        <v>205</v>
      </c>
      <c r="C119" s="86"/>
      <c r="D119" s="11" t="s">
        <v>12</v>
      </c>
      <c r="E119" s="36">
        <v>0.8</v>
      </c>
      <c r="F119" s="11">
        <v>2</v>
      </c>
      <c r="G119" s="11" t="s">
        <v>21</v>
      </c>
      <c r="H119" s="22">
        <v>46020</v>
      </c>
      <c r="I119" s="22">
        <v>46020</v>
      </c>
      <c r="J119" s="12" t="s">
        <v>22</v>
      </c>
      <c r="K119" s="13" t="s">
        <v>206</v>
      </c>
    </row>
    <row r="120" spans="1:11" s="14" customFormat="1" ht="54" x14ac:dyDescent="0.25">
      <c r="A120" s="21">
        <v>112</v>
      </c>
      <c r="B120" s="13" t="s">
        <v>207</v>
      </c>
      <c r="C120" s="86"/>
      <c r="D120" s="11" t="s">
        <v>12</v>
      </c>
      <c r="E120" s="36">
        <v>0.8</v>
      </c>
      <c r="F120" s="11"/>
      <c r="G120" s="11"/>
      <c r="H120" s="11"/>
      <c r="I120" s="11"/>
      <c r="J120" s="12" t="s">
        <v>13</v>
      </c>
      <c r="K120" s="13" t="s">
        <v>208</v>
      </c>
    </row>
    <row r="121" spans="1:11" s="14" customFormat="1" ht="72" x14ac:dyDescent="0.25">
      <c r="A121" s="21">
        <v>113</v>
      </c>
      <c r="B121" s="13" t="s">
        <v>209</v>
      </c>
      <c r="C121" s="86"/>
      <c r="D121" s="11" t="s">
        <v>12</v>
      </c>
      <c r="E121" s="36">
        <v>0.8</v>
      </c>
      <c r="F121" s="11">
        <v>0.8</v>
      </c>
      <c r="G121" s="11" t="s">
        <v>21</v>
      </c>
      <c r="H121" s="22">
        <v>45980</v>
      </c>
      <c r="I121" s="22">
        <v>45986</v>
      </c>
      <c r="J121" s="12" t="s">
        <v>22</v>
      </c>
      <c r="K121" s="13" t="s">
        <v>210</v>
      </c>
    </row>
    <row r="122" spans="1:11" s="14" customFormat="1" ht="72" x14ac:dyDescent="0.25">
      <c r="A122" s="21">
        <v>114</v>
      </c>
      <c r="B122" s="13" t="s">
        <v>211</v>
      </c>
      <c r="C122" s="86"/>
      <c r="D122" s="11" t="s">
        <v>12</v>
      </c>
      <c r="E122" s="36">
        <v>0.8</v>
      </c>
      <c r="F122" s="11">
        <v>1.5</v>
      </c>
      <c r="G122" s="11" t="s">
        <v>25</v>
      </c>
      <c r="H122" s="22">
        <v>45971</v>
      </c>
      <c r="I122" s="22">
        <v>46016</v>
      </c>
      <c r="J122" s="12" t="s">
        <v>22</v>
      </c>
      <c r="K122" s="13" t="s">
        <v>212</v>
      </c>
    </row>
    <row r="123" spans="1:11" s="14" customFormat="1" ht="36" x14ac:dyDescent="0.25">
      <c r="A123" s="21">
        <v>115</v>
      </c>
      <c r="B123" s="13" t="s">
        <v>213</v>
      </c>
      <c r="C123" s="86"/>
      <c r="D123" s="11" t="s">
        <v>12</v>
      </c>
      <c r="E123" s="36">
        <v>2</v>
      </c>
      <c r="F123" s="11">
        <v>1.5</v>
      </c>
      <c r="G123" s="11" t="s">
        <v>21</v>
      </c>
      <c r="H123" s="22">
        <v>45980</v>
      </c>
      <c r="I123" s="22">
        <v>46013</v>
      </c>
      <c r="J123" s="12" t="s">
        <v>22</v>
      </c>
      <c r="K123" s="13" t="s">
        <v>214</v>
      </c>
    </row>
    <row r="124" spans="1:11" s="14" customFormat="1" ht="54" x14ac:dyDescent="0.25">
      <c r="A124" s="21">
        <v>116</v>
      </c>
      <c r="B124" s="13" t="s">
        <v>215</v>
      </c>
      <c r="C124" s="86"/>
      <c r="D124" s="11" t="s">
        <v>16</v>
      </c>
      <c r="E124" s="36">
        <v>2</v>
      </c>
      <c r="F124" s="11">
        <v>2</v>
      </c>
      <c r="G124" s="11" t="s">
        <v>25</v>
      </c>
      <c r="H124" s="22">
        <v>46062</v>
      </c>
      <c r="I124" s="22">
        <v>46064</v>
      </c>
      <c r="J124" s="12" t="s">
        <v>22</v>
      </c>
      <c r="K124" s="13" t="s">
        <v>214</v>
      </c>
    </row>
    <row r="125" spans="1:11" s="14" customFormat="1" ht="36" x14ac:dyDescent="0.25">
      <c r="A125" s="21">
        <v>117</v>
      </c>
      <c r="B125" s="13" t="s">
        <v>216</v>
      </c>
      <c r="C125" s="86"/>
      <c r="D125" s="11" t="s">
        <v>12</v>
      </c>
      <c r="E125" s="36">
        <v>1</v>
      </c>
      <c r="F125" s="11">
        <v>1.5</v>
      </c>
      <c r="G125" s="11" t="s">
        <v>21</v>
      </c>
      <c r="H125" s="22">
        <v>45972</v>
      </c>
      <c r="I125" s="22">
        <v>45999</v>
      </c>
      <c r="J125" s="12" t="s">
        <v>22</v>
      </c>
      <c r="K125" s="13" t="s">
        <v>214</v>
      </c>
    </row>
    <row r="126" spans="1:11" s="14" customFormat="1" ht="36" x14ac:dyDescent="0.25">
      <c r="A126" s="21">
        <v>118</v>
      </c>
      <c r="B126" s="13" t="s">
        <v>217</v>
      </c>
      <c r="C126" s="86"/>
      <c r="D126" s="11" t="s">
        <v>12</v>
      </c>
      <c r="E126" s="36">
        <v>2</v>
      </c>
      <c r="F126" s="11">
        <v>1</v>
      </c>
      <c r="G126" s="11" t="s">
        <v>21</v>
      </c>
      <c r="H126" s="22">
        <v>45972</v>
      </c>
      <c r="I126" s="22">
        <v>45986</v>
      </c>
      <c r="J126" s="12" t="s">
        <v>22</v>
      </c>
      <c r="K126" s="13" t="s">
        <v>214</v>
      </c>
    </row>
    <row r="127" spans="1:11" s="14" customFormat="1" ht="54" x14ac:dyDescent="0.25">
      <c r="A127" s="21">
        <v>119</v>
      </c>
      <c r="B127" s="13" t="s">
        <v>218</v>
      </c>
      <c r="C127" s="86"/>
      <c r="D127" s="11" t="s">
        <v>16</v>
      </c>
      <c r="E127" s="36">
        <v>2</v>
      </c>
      <c r="F127" s="11">
        <v>1</v>
      </c>
      <c r="G127" s="11" t="s">
        <v>25</v>
      </c>
      <c r="H127" s="22">
        <v>46006</v>
      </c>
      <c r="I127" s="22">
        <v>46064</v>
      </c>
      <c r="J127" s="12" t="s">
        <v>22</v>
      </c>
      <c r="K127" s="13" t="s">
        <v>214</v>
      </c>
    </row>
    <row r="128" spans="1:11" s="14" customFormat="1" ht="36" x14ac:dyDescent="0.25">
      <c r="A128" s="21">
        <v>120</v>
      </c>
      <c r="B128" s="13" t="s">
        <v>219</v>
      </c>
      <c r="C128" s="86"/>
      <c r="D128" s="11" t="s">
        <v>12</v>
      </c>
      <c r="E128" s="36">
        <v>3</v>
      </c>
      <c r="F128" s="11">
        <v>2.5</v>
      </c>
      <c r="G128" s="11" t="s">
        <v>25</v>
      </c>
      <c r="H128" s="22">
        <v>46010</v>
      </c>
      <c r="I128" s="22">
        <v>46010</v>
      </c>
      <c r="J128" s="12" t="s">
        <v>22</v>
      </c>
      <c r="K128" s="13" t="s">
        <v>214</v>
      </c>
    </row>
    <row r="129" spans="1:11" s="14" customFormat="1" ht="72" x14ac:dyDescent="0.25">
      <c r="A129" s="21">
        <v>121</v>
      </c>
      <c r="B129" s="13" t="s">
        <v>220</v>
      </c>
      <c r="C129" s="86"/>
      <c r="D129" s="11" t="s">
        <v>16</v>
      </c>
      <c r="E129" s="36">
        <v>2</v>
      </c>
      <c r="F129" s="11">
        <v>1</v>
      </c>
      <c r="G129" s="11" t="s">
        <v>92</v>
      </c>
      <c r="H129" s="22">
        <v>46006</v>
      </c>
      <c r="I129" s="22">
        <v>45699</v>
      </c>
      <c r="J129" s="12" t="s">
        <v>22</v>
      </c>
      <c r="K129" s="13" t="s">
        <v>214</v>
      </c>
    </row>
    <row r="130" spans="1:11" s="14" customFormat="1" ht="72" x14ac:dyDescent="0.25">
      <c r="A130" s="21">
        <v>122</v>
      </c>
      <c r="B130" s="13" t="s">
        <v>221</v>
      </c>
      <c r="C130" s="86"/>
      <c r="D130" s="11" t="s">
        <v>16</v>
      </c>
      <c r="E130" s="36">
        <v>10</v>
      </c>
      <c r="F130" s="11">
        <v>10</v>
      </c>
      <c r="G130" s="11" t="s">
        <v>92</v>
      </c>
      <c r="H130" s="22">
        <v>46062</v>
      </c>
      <c r="I130" s="22">
        <v>46064</v>
      </c>
      <c r="J130" s="12" t="s">
        <v>22</v>
      </c>
      <c r="K130" s="13" t="s">
        <v>214</v>
      </c>
    </row>
    <row r="131" spans="1:11" s="14" customFormat="1" ht="54" x14ac:dyDescent="0.25">
      <c r="A131" s="21">
        <v>123</v>
      </c>
      <c r="B131" s="13" t="s">
        <v>222</v>
      </c>
      <c r="C131" s="86"/>
      <c r="D131" s="11" t="s">
        <v>16</v>
      </c>
      <c r="E131" s="36">
        <v>5</v>
      </c>
      <c r="F131" s="11">
        <v>1</v>
      </c>
      <c r="G131" s="11" t="s">
        <v>92</v>
      </c>
      <c r="H131" s="22">
        <v>46006</v>
      </c>
      <c r="I131" s="22">
        <v>45699</v>
      </c>
      <c r="J131" s="12" t="s">
        <v>22</v>
      </c>
      <c r="K131" s="13" t="s">
        <v>214</v>
      </c>
    </row>
    <row r="132" spans="1:11" s="14" customFormat="1" ht="72" x14ac:dyDescent="0.25">
      <c r="A132" s="21">
        <v>124</v>
      </c>
      <c r="B132" s="13" t="s">
        <v>223</v>
      </c>
      <c r="C132" s="86"/>
      <c r="D132" s="11"/>
      <c r="E132" s="36">
        <v>1</v>
      </c>
      <c r="F132" s="11">
        <v>2</v>
      </c>
      <c r="G132" s="11" t="s">
        <v>21</v>
      </c>
      <c r="H132" s="22">
        <v>46028</v>
      </c>
      <c r="I132" s="22">
        <v>46029</v>
      </c>
      <c r="J132" s="12" t="s">
        <v>22</v>
      </c>
      <c r="K132" s="13" t="s">
        <v>214</v>
      </c>
    </row>
    <row r="133" spans="1:11" s="14" customFormat="1" ht="36" x14ac:dyDescent="0.25">
      <c r="A133" s="21">
        <v>125</v>
      </c>
      <c r="B133" s="13" t="s">
        <v>224</v>
      </c>
      <c r="C133" s="86"/>
      <c r="D133" s="11" t="s">
        <v>12</v>
      </c>
      <c r="E133" s="36">
        <v>1</v>
      </c>
      <c r="F133" s="11"/>
      <c r="G133" s="11"/>
      <c r="H133" s="11"/>
      <c r="I133" s="11"/>
      <c r="J133" s="12" t="s">
        <v>13</v>
      </c>
      <c r="K133" s="13" t="s">
        <v>214</v>
      </c>
    </row>
    <row r="134" spans="1:11" s="14" customFormat="1" ht="36" x14ac:dyDescent="0.25">
      <c r="A134" s="21">
        <v>126</v>
      </c>
      <c r="B134" s="13" t="s">
        <v>225</v>
      </c>
      <c r="C134" s="86"/>
      <c r="D134" s="11" t="s">
        <v>12</v>
      </c>
      <c r="E134" s="36">
        <v>1</v>
      </c>
      <c r="F134" s="11"/>
      <c r="G134" s="11"/>
      <c r="H134" s="11"/>
      <c r="I134" s="11"/>
      <c r="J134" s="12" t="s">
        <v>13</v>
      </c>
      <c r="K134" s="13" t="s">
        <v>214</v>
      </c>
    </row>
    <row r="135" spans="1:11" s="14" customFormat="1" ht="72" x14ac:dyDescent="0.25">
      <c r="A135" s="21">
        <v>127</v>
      </c>
      <c r="B135" s="13" t="s">
        <v>226</v>
      </c>
      <c r="C135" s="86"/>
      <c r="D135" s="11" t="s">
        <v>12</v>
      </c>
      <c r="E135" s="36">
        <v>1</v>
      </c>
      <c r="F135" s="11"/>
      <c r="G135" s="11"/>
      <c r="H135" s="11"/>
      <c r="I135" s="11"/>
      <c r="J135" s="12" t="s">
        <v>13</v>
      </c>
      <c r="K135" s="13" t="s">
        <v>214</v>
      </c>
    </row>
    <row r="136" spans="1:11" s="14" customFormat="1" ht="54" x14ac:dyDescent="0.25">
      <c r="A136" s="21">
        <v>128</v>
      </c>
      <c r="B136" s="13" t="s">
        <v>227</v>
      </c>
      <c r="C136" s="86"/>
      <c r="D136" s="11" t="s">
        <v>12</v>
      </c>
      <c r="E136" s="36">
        <v>1</v>
      </c>
      <c r="F136" s="11"/>
      <c r="G136" s="11"/>
      <c r="H136" s="11"/>
      <c r="I136" s="11"/>
      <c r="J136" s="12" t="s">
        <v>13</v>
      </c>
      <c r="K136" s="13" t="s">
        <v>214</v>
      </c>
    </row>
    <row r="137" spans="1:11" s="14" customFormat="1" ht="72" x14ac:dyDescent="0.25">
      <c r="A137" s="21">
        <v>129</v>
      </c>
      <c r="B137" s="13" t="s">
        <v>35</v>
      </c>
      <c r="C137" s="86"/>
      <c r="D137" s="11" t="s">
        <v>12</v>
      </c>
      <c r="E137" s="36">
        <v>1</v>
      </c>
      <c r="F137" s="11">
        <v>1</v>
      </c>
      <c r="G137" s="11" t="s">
        <v>21</v>
      </c>
      <c r="H137" s="22">
        <v>45993</v>
      </c>
      <c r="I137" s="22">
        <v>45999</v>
      </c>
      <c r="J137" s="12" t="s">
        <v>22</v>
      </c>
      <c r="K137" s="13" t="s">
        <v>26</v>
      </c>
    </row>
    <row r="138" spans="1:11" s="20" customFormat="1" ht="18" x14ac:dyDescent="0.25">
      <c r="A138" s="23"/>
      <c r="B138" s="16" t="s">
        <v>228</v>
      </c>
      <c r="C138" s="17">
        <f>SUM(E139:E206)</f>
        <v>74.599999999999994</v>
      </c>
      <c r="D138" s="18"/>
      <c r="E138" s="15"/>
      <c r="F138" s="17">
        <f>SUM(F139:F206)</f>
        <v>58.65</v>
      </c>
      <c r="G138" s="18"/>
      <c r="H138" s="18"/>
      <c r="I138" s="18"/>
      <c r="J138" s="18"/>
      <c r="K138" s="19"/>
    </row>
    <row r="139" spans="1:11" s="14" customFormat="1" ht="54" x14ac:dyDescent="0.25">
      <c r="A139" s="21">
        <v>130</v>
      </c>
      <c r="B139" s="13" t="s">
        <v>229</v>
      </c>
      <c r="C139" s="85"/>
      <c r="D139" s="11" t="s">
        <v>12</v>
      </c>
      <c r="E139" s="36">
        <v>1</v>
      </c>
      <c r="F139" s="11"/>
      <c r="G139" s="11"/>
      <c r="H139" s="11"/>
      <c r="I139" s="11"/>
      <c r="J139" s="12" t="s">
        <v>13</v>
      </c>
      <c r="K139" s="13" t="s">
        <v>17</v>
      </c>
    </row>
    <row r="140" spans="1:11" s="14" customFormat="1" ht="36" x14ac:dyDescent="0.25">
      <c r="A140" s="21">
        <v>131</v>
      </c>
      <c r="B140" s="13" t="s">
        <v>230</v>
      </c>
      <c r="C140" s="85"/>
      <c r="D140" s="11" t="s">
        <v>16</v>
      </c>
      <c r="E140" s="36">
        <v>1</v>
      </c>
      <c r="F140" s="11">
        <v>1.1000000000000001</v>
      </c>
      <c r="G140" s="11" t="s">
        <v>231</v>
      </c>
      <c r="H140" s="22">
        <v>46069</v>
      </c>
      <c r="I140" s="22">
        <v>46070</v>
      </c>
      <c r="J140" s="12" t="s">
        <v>22</v>
      </c>
      <c r="K140" s="13" t="s">
        <v>17</v>
      </c>
    </row>
    <row r="141" spans="1:11" s="14" customFormat="1" ht="36" x14ac:dyDescent="0.25">
      <c r="A141" s="21">
        <v>132</v>
      </c>
      <c r="B141" s="13" t="s">
        <v>232</v>
      </c>
      <c r="C141" s="85"/>
      <c r="D141" s="11" t="s">
        <v>16</v>
      </c>
      <c r="E141" s="36">
        <v>1</v>
      </c>
      <c r="F141" s="11">
        <v>1.1000000000000001</v>
      </c>
      <c r="G141" s="11" t="s">
        <v>92</v>
      </c>
      <c r="H141" s="22">
        <v>46069</v>
      </c>
      <c r="I141" s="22">
        <v>46070</v>
      </c>
      <c r="J141" s="12" t="s">
        <v>22</v>
      </c>
      <c r="K141" s="13" t="s">
        <v>17</v>
      </c>
    </row>
    <row r="142" spans="1:11" s="14" customFormat="1" ht="36" x14ac:dyDescent="0.25">
      <c r="A142" s="21">
        <v>133</v>
      </c>
      <c r="B142" s="13" t="s">
        <v>233</v>
      </c>
      <c r="C142" s="85"/>
      <c r="D142" s="11" t="s">
        <v>16</v>
      </c>
      <c r="E142" s="36">
        <v>1</v>
      </c>
      <c r="F142" s="11">
        <v>1.1000000000000001</v>
      </c>
      <c r="G142" s="11" t="s">
        <v>92</v>
      </c>
      <c r="H142" s="22">
        <v>46069</v>
      </c>
      <c r="I142" s="22">
        <v>46070</v>
      </c>
      <c r="J142" s="12" t="s">
        <v>22</v>
      </c>
      <c r="K142" s="13" t="s">
        <v>17</v>
      </c>
    </row>
    <row r="143" spans="1:11" s="14" customFormat="1" ht="36" x14ac:dyDescent="0.25">
      <c r="A143" s="21">
        <v>134</v>
      </c>
      <c r="B143" s="13" t="s">
        <v>234</v>
      </c>
      <c r="C143" s="85"/>
      <c r="D143" s="11" t="s">
        <v>16</v>
      </c>
      <c r="E143" s="36">
        <v>1</v>
      </c>
      <c r="F143" s="11">
        <v>1.1000000000000001</v>
      </c>
      <c r="G143" s="11" t="s">
        <v>92</v>
      </c>
      <c r="H143" s="22">
        <v>46069</v>
      </c>
      <c r="I143" s="22">
        <v>46070</v>
      </c>
      <c r="J143" s="12" t="s">
        <v>22</v>
      </c>
      <c r="K143" s="13" t="s">
        <v>17</v>
      </c>
    </row>
    <row r="144" spans="1:11" s="14" customFormat="1" ht="36" x14ac:dyDescent="0.25">
      <c r="A144" s="21">
        <v>135</v>
      </c>
      <c r="B144" s="13" t="s">
        <v>235</v>
      </c>
      <c r="C144" s="85"/>
      <c r="D144" s="11" t="s">
        <v>16</v>
      </c>
      <c r="E144" s="36">
        <v>1</v>
      </c>
      <c r="F144" s="11">
        <v>1.1000000000000001</v>
      </c>
      <c r="G144" s="11" t="s">
        <v>92</v>
      </c>
      <c r="H144" s="22">
        <v>46069</v>
      </c>
      <c r="I144" s="22">
        <v>46070</v>
      </c>
      <c r="J144" s="12" t="s">
        <v>22</v>
      </c>
      <c r="K144" s="13" t="s">
        <v>17</v>
      </c>
    </row>
    <row r="145" spans="1:11" s="14" customFormat="1" ht="36" x14ac:dyDescent="0.25">
      <c r="A145" s="21">
        <v>136</v>
      </c>
      <c r="B145" s="13" t="s">
        <v>236</v>
      </c>
      <c r="C145" s="85"/>
      <c r="D145" s="11" t="s">
        <v>16</v>
      </c>
      <c r="E145" s="36">
        <v>1</v>
      </c>
      <c r="F145" s="11">
        <v>1.1000000000000001</v>
      </c>
      <c r="G145" s="11" t="s">
        <v>92</v>
      </c>
      <c r="H145" s="22">
        <v>46069</v>
      </c>
      <c r="I145" s="22">
        <v>46070</v>
      </c>
      <c r="J145" s="12" t="s">
        <v>22</v>
      </c>
      <c r="K145" s="13" t="s">
        <v>17</v>
      </c>
    </row>
    <row r="146" spans="1:11" s="14" customFormat="1" ht="36" x14ac:dyDescent="0.25">
      <c r="A146" s="21">
        <v>137</v>
      </c>
      <c r="B146" s="24" t="s">
        <v>237</v>
      </c>
      <c r="C146" s="85"/>
      <c r="D146" s="11" t="s">
        <v>12</v>
      </c>
      <c r="E146" s="36">
        <v>3</v>
      </c>
      <c r="F146" s="11">
        <v>1.1000000000000001</v>
      </c>
      <c r="G146" s="11" t="s">
        <v>92</v>
      </c>
      <c r="H146" s="22">
        <v>46069</v>
      </c>
      <c r="I146" s="22">
        <v>46070</v>
      </c>
      <c r="J146" s="12" t="s">
        <v>22</v>
      </c>
      <c r="K146" s="13" t="s">
        <v>17</v>
      </c>
    </row>
    <row r="147" spans="1:11" s="14" customFormat="1" ht="36" x14ac:dyDescent="0.25">
      <c r="A147" s="21">
        <v>138</v>
      </c>
      <c r="B147" s="24" t="s">
        <v>238</v>
      </c>
      <c r="C147" s="85"/>
      <c r="D147" s="11" t="s">
        <v>12</v>
      </c>
      <c r="E147" s="36">
        <v>0.8</v>
      </c>
      <c r="F147" s="11"/>
      <c r="G147" s="11"/>
      <c r="H147" s="11"/>
      <c r="I147" s="11"/>
      <c r="J147" s="12" t="s">
        <v>13</v>
      </c>
      <c r="K147" s="13" t="s">
        <v>17</v>
      </c>
    </row>
    <row r="148" spans="1:11" s="14" customFormat="1" ht="36" x14ac:dyDescent="0.25">
      <c r="A148" s="21">
        <v>139</v>
      </c>
      <c r="B148" s="13" t="s">
        <v>239</v>
      </c>
      <c r="C148" s="85"/>
      <c r="D148" s="11" t="s">
        <v>12</v>
      </c>
      <c r="E148" s="36">
        <v>1</v>
      </c>
      <c r="F148" s="11">
        <v>0.8</v>
      </c>
      <c r="G148" s="11" t="s">
        <v>21</v>
      </c>
      <c r="H148" s="22">
        <v>45972</v>
      </c>
      <c r="I148" s="22">
        <v>45986</v>
      </c>
      <c r="J148" s="12" t="s">
        <v>22</v>
      </c>
      <c r="K148" s="13" t="s">
        <v>17</v>
      </c>
    </row>
    <row r="149" spans="1:11" s="14" customFormat="1" ht="36" x14ac:dyDescent="0.25">
      <c r="A149" s="21">
        <v>140</v>
      </c>
      <c r="B149" s="13" t="s">
        <v>240</v>
      </c>
      <c r="C149" s="85"/>
      <c r="D149" s="11" t="s">
        <v>12</v>
      </c>
      <c r="E149" s="36">
        <v>1</v>
      </c>
      <c r="F149" s="11">
        <v>2</v>
      </c>
      <c r="G149" s="11" t="s">
        <v>21</v>
      </c>
      <c r="H149" s="22">
        <v>46041</v>
      </c>
      <c r="I149" s="22">
        <v>46041</v>
      </c>
      <c r="J149" s="12" t="s">
        <v>22</v>
      </c>
      <c r="K149" s="13" t="s">
        <v>17</v>
      </c>
    </row>
    <row r="150" spans="1:11" s="14" customFormat="1" ht="36" x14ac:dyDescent="0.25">
      <c r="A150" s="21">
        <v>141</v>
      </c>
      <c r="B150" s="13" t="s">
        <v>241</v>
      </c>
      <c r="C150" s="85"/>
      <c r="D150" s="11" t="s">
        <v>12</v>
      </c>
      <c r="E150" s="36">
        <v>1</v>
      </c>
      <c r="F150" s="11">
        <v>1</v>
      </c>
      <c r="G150" s="11" t="s">
        <v>163</v>
      </c>
      <c r="H150" s="22">
        <v>46001</v>
      </c>
      <c r="I150" s="22">
        <v>46071</v>
      </c>
      <c r="J150" s="12" t="s">
        <v>22</v>
      </c>
      <c r="K150" s="13" t="s">
        <v>17</v>
      </c>
    </row>
    <row r="151" spans="1:11" s="14" customFormat="1" ht="36" x14ac:dyDescent="0.25">
      <c r="A151" s="21">
        <v>142</v>
      </c>
      <c r="B151" s="13" t="s">
        <v>242</v>
      </c>
      <c r="C151" s="85"/>
      <c r="D151" s="11" t="s">
        <v>12</v>
      </c>
      <c r="E151" s="36">
        <v>1</v>
      </c>
      <c r="F151" s="11">
        <v>1</v>
      </c>
      <c r="G151" s="11" t="s">
        <v>21</v>
      </c>
      <c r="H151" s="22">
        <v>45978</v>
      </c>
      <c r="I151" s="22">
        <v>46013</v>
      </c>
      <c r="J151" s="12" t="s">
        <v>22</v>
      </c>
      <c r="K151" s="13" t="s">
        <v>17</v>
      </c>
    </row>
    <row r="152" spans="1:11" s="14" customFormat="1" ht="36" x14ac:dyDescent="0.25">
      <c r="A152" s="21">
        <v>143</v>
      </c>
      <c r="B152" s="13" t="s">
        <v>243</v>
      </c>
      <c r="C152" s="85"/>
      <c r="D152" s="11" t="s">
        <v>12</v>
      </c>
      <c r="E152" s="36">
        <v>1</v>
      </c>
      <c r="F152" s="11">
        <v>1.5</v>
      </c>
      <c r="G152" s="11" t="s">
        <v>21</v>
      </c>
      <c r="H152" s="22">
        <v>45978</v>
      </c>
      <c r="I152" s="22">
        <v>46041</v>
      </c>
      <c r="J152" s="12" t="s">
        <v>22</v>
      </c>
      <c r="K152" s="13" t="s">
        <v>17</v>
      </c>
    </row>
    <row r="153" spans="1:11" s="14" customFormat="1" ht="36" x14ac:dyDescent="0.25">
      <c r="A153" s="21">
        <v>144</v>
      </c>
      <c r="B153" s="13" t="s">
        <v>244</v>
      </c>
      <c r="C153" s="85"/>
      <c r="D153" s="11" t="s">
        <v>12</v>
      </c>
      <c r="E153" s="36">
        <v>1</v>
      </c>
      <c r="F153" s="11">
        <v>2</v>
      </c>
      <c r="G153" s="11" t="s">
        <v>21</v>
      </c>
      <c r="H153" s="22">
        <v>46033</v>
      </c>
      <c r="I153" s="22">
        <v>46041</v>
      </c>
      <c r="J153" s="12" t="s">
        <v>22</v>
      </c>
      <c r="K153" s="13" t="s">
        <v>17</v>
      </c>
    </row>
    <row r="154" spans="1:11" s="14" customFormat="1" ht="36" x14ac:dyDescent="0.25">
      <c r="A154" s="21">
        <v>145</v>
      </c>
      <c r="B154" s="13" t="s">
        <v>245</v>
      </c>
      <c r="C154" s="85"/>
      <c r="D154" s="11" t="s">
        <v>12</v>
      </c>
      <c r="E154" s="36">
        <v>1</v>
      </c>
      <c r="F154" s="11">
        <v>1.5</v>
      </c>
      <c r="G154" s="11" t="s">
        <v>21</v>
      </c>
      <c r="H154" s="22">
        <v>46006</v>
      </c>
      <c r="I154" s="22">
        <v>46013</v>
      </c>
      <c r="J154" s="12" t="s">
        <v>22</v>
      </c>
      <c r="K154" s="13" t="s">
        <v>17</v>
      </c>
    </row>
    <row r="155" spans="1:11" s="14" customFormat="1" ht="36" x14ac:dyDescent="0.25">
      <c r="A155" s="21">
        <v>146</v>
      </c>
      <c r="B155" s="13" t="s">
        <v>246</v>
      </c>
      <c r="C155" s="85"/>
      <c r="D155" s="11" t="s">
        <v>12</v>
      </c>
      <c r="E155" s="36">
        <v>1</v>
      </c>
      <c r="F155" s="11"/>
      <c r="G155" s="11"/>
      <c r="H155" s="11"/>
      <c r="I155" s="11"/>
      <c r="J155" s="12" t="s">
        <v>13</v>
      </c>
      <c r="K155" s="13" t="s">
        <v>17</v>
      </c>
    </row>
    <row r="156" spans="1:11" s="14" customFormat="1" ht="36" x14ac:dyDescent="0.25">
      <c r="A156" s="21">
        <v>147</v>
      </c>
      <c r="B156" s="13" t="s">
        <v>247</v>
      </c>
      <c r="C156" s="85"/>
      <c r="D156" s="11" t="s">
        <v>16</v>
      </c>
      <c r="E156" s="36">
        <v>1</v>
      </c>
      <c r="F156" s="11">
        <v>1</v>
      </c>
      <c r="G156" s="11" t="s">
        <v>92</v>
      </c>
      <c r="H156" s="22">
        <v>46006</v>
      </c>
      <c r="I156" s="22">
        <v>46064</v>
      </c>
      <c r="J156" s="12" t="s">
        <v>22</v>
      </c>
      <c r="K156" s="13" t="s">
        <v>17</v>
      </c>
    </row>
    <row r="157" spans="1:11" s="14" customFormat="1" ht="36" x14ac:dyDescent="0.25">
      <c r="A157" s="21">
        <v>148</v>
      </c>
      <c r="B157" s="13" t="s">
        <v>248</v>
      </c>
      <c r="C157" s="85"/>
      <c r="D157" s="11" t="s">
        <v>16</v>
      </c>
      <c r="E157" s="36">
        <v>1</v>
      </c>
      <c r="F157" s="11">
        <v>1</v>
      </c>
      <c r="G157" s="11" t="s">
        <v>92</v>
      </c>
      <c r="H157" s="22">
        <v>46006</v>
      </c>
      <c r="I157" s="22">
        <v>46064</v>
      </c>
      <c r="J157" s="12" t="s">
        <v>22</v>
      </c>
      <c r="K157" s="13" t="s">
        <v>17</v>
      </c>
    </row>
    <row r="158" spans="1:11" s="14" customFormat="1" ht="36" x14ac:dyDescent="0.25">
      <c r="A158" s="21">
        <v>149</v>
      </c>
      <c r="B158" s="13" t="s">
        <v>249</v>
      </c>
      <c r="C158" s="85"/>
      <c r="D158" s="11" t="s">
        <v>16</v>
      </c>
      <c r="E158" s="36">
        <v>1</v>
      </c>
      <c r="F158" s="11"/>
      <c r="G158" s="11"/>
      <c r="H158" s="11"/>
      <c r="I158" s="11"/>
      <c r="J158" s="12" t="s">
        <v>13</v>
      </c>
      <c r="K158" s="13" t="s">
        <v>17</v>
      </c>
    </row>
    <row r="159" spans="1:11" s="14" customFormat="1" ht="36" x14ac:dyDescent="0.25">
      <c r="A159" s="21">
        <v>150</v>
      </c>
      <c r="B159" s="13" t="s">
        <v>250</v>
      </c>
      <c r="C159" s="85"/>
      <c r="D159" s="11" t="s">
        <v>16</v>
      </c>
      <c r="E159" s="36">
        <v>1</v>
      </c>
      <c r="F159" s="11">
        <v>1</v>
      </c>
      <c r="G159" s="11" t="s">
        <v>92</v>
      </c>
      <c r="H159" s="22">
        <v>46006</v>
      </c>
      <c r="I159" s="22">
        <v>46064</v>
      </c>
      <c r="J159" s="12" t="s">
        <v>22</v>
      </c>
      <c r="K159" s="13" t="s">
        <v>17</v>
      </c>
    </row>
    <row r="160" spans="1:11" s="14" customFormat="1" ht="36" x14ac:dyDescent="0.25">
      <c r="A160" s="21">
        <v>151</v>
      </c>
      <c r="B160" s="13" t="s">
        <v>251</v>
      </c>
      <c r="C160" s="85"/>
      <c r="D160" s="11" t="s">
        <v>12</v>
      </c>
      <c r="E160" s="36">
        <v>1</v>
      </c>
      <c r="F160" s="11">
        <v>0.75</v>
      </c>
      <c r="G160" s="11" t="s">
        <v>21</v>
      </c>
      <c r="H160" s="22">
        <v>45989</v>
      </c>
      <c r="I160" s="22">
        <v>46013</v>
      </c>
      <c r="J160" s="12" t="s">
        <v>22</v>
      </c>
      <c r="K160" s="13" t="s">
        <v>17</v>
      </c>
    </row>
    <row r="161" spans="1:11" s="14" customFormat="1" ht="36" x14ac:dyDescent="0.25">
      <c r="A161" s="21">
        <v>152</v>
      </c>
      <c r="B161" s="13" t="s">
        <v>252</v>
      </c>
      <c r="C161" s="85"/>
      <c r="D161" s="11" t="s">
        <v>12</v>
      </c>
      <c r="E161" s="36">
        <v>1</v>
      </c>
      <c r="F161" s="11"/>
      <c r="G161" s="11"/>
      <c r="H161" s="11"/>
      <c r="I161" s="11"/>
      <c r="J161" s="12" t="s">
        <v>13</v>
      </c>
      <c r="K161" s="13" t="s">
        <v>17</v>
      </c>
    </row>
    <row r="162" spans="1:11" s="14" customFormat="1" ht="36" x14ac:dyDescent="0.25">
      <c r="A162" s="21">
        <v>153</v>
      </c>
      <c r="B162" s="13" t="s">
        <v>253</v>
      </c>
      <c r="C162" s="85"/>
      <c r="D162" s="11" t="s">
        <v>12</v>
      </c>
      <c r="E162" s="36">
        <v>0.6</v>
      </c>
      <c r="F162" s="11"/>
      <c r="G162" s="11"/>
      <c r="H162" s="11"/>
      <c r="I162" s="11"/>
      <c r="J162" s="12" t="s">
        <v>13</v>
      </c>
      <c r="K162" s="13" t="s">
        <v>17</v>
      </c>
    </row>
    <row r="163" spans="1:11" s="14" customFormat="1" ht="54" x14ac:dyDescent="0.25">
      <c r="A163" s="21">
        <v>154</v>
      </c>
      <c r="B163" s="13" t="s">
        <v>254</v>
      </c>
      <c r="C163" s="85"/>
      <c r="D163" s="11" t="s">
        <v>16</v>
      </c>
      <c r="E163" s="36">
        <v>1</v>
      </c>
      <c r="F163" s="11">
        <v>2</v>
      </c>
      <c r="G163" s="11" t="s">
        <v>255</v>
      </c>
      <c r="H163" s="22">
        <v>45975</v>
      </c>
      <c r="I163" s="22">
        <v>46002</v>
      </c>
      <c r="J163" s="12" t="s">
        <v>22</v>
      </c>
      <c r="K163" s="13" t="s">
        <v>17</v>
      </c>
    </row>
    <row r="164" spans="1:11" s="14" customFormat="1" ht="36" x14ac:dyDescent="0.25">
      <c r="A164" s="21">
        <v>155</v>
      </c>
      <c r="B164" s="24" t="s">
        <v>256</v>
      </c>
      <c r="C164" s="85"/>
      <c r="D164" s="11" t="s">
        <v>16</v>
      </c>
      <c r="E164" s="36">
        <v>1</v>
      </c>
      <c r="F164" s="11">
        <v>2</v>
      </c>
      <c r="G164" s="11" t="s">
        <v>28</v>
      </c>
      <c r="H164" s="22">
        <v>45974</v>
      </c>
      <c r="I164" s="22">
        <v>45986</v>
      </c>
      <c r="J164" s="12" t="s">
        <v>22</v>
      </c>
      <c r="K164" s="13" t="s">
        <v>17</v>
      </c>
    </row>
    <row r="165" spans="1:11" s="14" customFormat="1" ht="36" x14ac:dyDescent="0.25">
      <c r="A165" s="21">
        <v>156</v>
      </c>
      <c r="B165" s="24" t="s">
        <v>257</v>
      </c>
      <c r="C165" s="85"/>
      <c r="D165" s="11" t="s">
        <v>12</v>
      </c>
      <c r="E165" s="36">
        <v>1</v>
      </c>
      <c r="F165" s="11">
        <v>8</v>
      </c>
      <c r="G165" s="11" t="s">
        <v>28</v>
      </c>
      <c r="H165" s="22">
        <v>45972</v>
      </c>
      <c r="I165" s="22">
        <v>45986</v>
      </c>
      <c r="J165" s="12" t="s">
        <v>22</v>
      </c>
      <c r="K165" s="13" t="s">
        <v>17</v>
      </c>
    </row>
    <row r="166" spans="1:11" s="14" customFormat="1" ht="36" x14ac:dyDescent="0.25">
      <c r="A166" s="21">
        <v>157</v>
      </c>
      <c r="B166" s="24" t="s">
        <v>258</v>
      </c>
      <c r="C166" s="85"/>
      <c r="D166" s="11" t="s">
        <v>16</v>
      </c>
      <c r="E166" s="36">
        <v>2</v>
      </c>
      <c r="F166" s="11"/>
      <c r="G166" s="11"/>
      <c r="H166" s="11"/>
      <c r="I166" s="11"/>
      <c r="J166" s="12" t="s">
        <v>13</v>
      </c>
      <c r="K166" s="13" t="s">
        <v>17</v>
      </c>
    </row>
    <row r="167" spans="1:11" s="14" customFormat="1" ht="36" x14ac:dyDescent="0.25">
      <c r="A167" s="21">
        <v>158</v>
      </c>
      <c r="B167" s="24" t="s">
        <v>259</v>
      </c>
      <c r="C167" s="85"/>
      <c r="D167" s="11" t="s">
        <v>16</v>
      </c>
      <c r="E167" s="36">
        <v>2</v>
      </c>
      <c r="F167" s="11"/>
      <c r="G167" s="11"/>
      <c r="H167" s="11"/>
      <c r="I167" s="11"/>
      <c r="J167" s="12" t="s">
        <v>13</v>
      </c>
      <c r="K167" s="13" t="s">
        <v>17</v>
      </c>
    </row>
    <row r="168" spans="1:11" s="14" customFormat="1" ht="54" x14ac:dyDescent="0.25">
      <c r="A168" s="21">
        <v>159</v>
      </c>
      <c r="B168" s="24" t="s">
        <v>260</v>
      </c>
      <c r="C168" s="85"/>
      <c r="D168" s="11" t="s">
        <v>16</v>
      </c>
      <c r="E168" s="36">
        <v>1</v>
      </c>
      <c r="F168" s="11"/>
      <c r="G168" s="11"/>
      <c r="H168" s="11"/>
      <c r="I168" s="11"/>
      <c r="J168" s="12" t="s">
        <v>13</v>
      </c>
      <c r="K168" s="13" t="s">
        <v>17</v>
      </c>
    </row>
    <row r="169" spans="1:11" s="14" customFormat="1" ht="54" x14ac:dyDescent="0.25">
      <c r="A169" s="21">
        <v>160</v>
      </c>
      <c r="B169" s="13" t="s">
        <v>261</v>
      </c>
      <c r="C169" s="85"/>
      <c r="D169" s="11" t="s">
        <v>12</v>
      </c>
      <c r="E169" s="36">
        <v>1</v>
      </c>
      <c r="F169" s="11"/>
      <c r="G169" s="11"/>
      <c r="H169" s="11"/>
      <c r="I169" s="11"/>
      <c r="J169" s="12" t="s">
        <v>13</v>
      </c>
      <c r="K169" s="13" t="s">
        <v>17</v>
      </c>
    </row>
    <row r="170" spans="1:11" s="14" customFormat="1" ht="54" x14ac:dyDescent="0.25">
      <c r="A170" s="21">
        <v>161</v>
      </c>
      <c r="B170" s="13" t="s">
        <v>262</v>
      </c>
      <c r="C170" s="85"/>
      <c r="D170" s="11" t="s">
        <v>12</v>
      </c>
      <c r="E170" s="36">
        <v>0.9</v>
      </c>
      <c r="F170" s="11"/>
      <c r="G170" s="11"/>
      <c r="H170" s="11"/>
      <c r="I170" s="11"/>
      <c r="J170" s="12" t="s">
        <v>13</v>
      </c>
      <c r="K170" s="13" t="s">
        <v>17</v>
      </c>
    </row>
    <row r="171" spans="1:11" s="14" customFormat="1" ht="54" x14ac:dyDescent="0.25">
      <c r="A171" s="21">
        <v>162</v>
      </c>
      <c r="B171" s="13" t="s">
        <v>263</v>
      </c>
      <c r="C171" s="85"/>
      <c r="D171" s="11" t="s">
        <v>16</v>
      </c>
      <c r="E171" s="36">
        <v>1</v>
      </c>
      <c r="F171" s="11">
        <v>1</v>
      </c>
      <c r="G171" s="11" t="s">
        <v>92</v>
      </c>
      <c r="H171" s="22">
        <v>46027</v>
      </c>
      <c r="I171" s="22">
        <v>46066</v>
      </c>
      <c r="J171" s="12" t="s">
        <v>22</v>
      </c>
      <c r="K171" s="13" t="s">
        <v>17</v>
      </c>
    </row>
    <row r="172" spans="1:11" s="14" customFormat="1" ht="54" x14ac:dyDescent="0.25">
      <c r="A172" s="21">
        <v>163</v>
      </c>
      <c r="B172" s="13" t="s">
        <v>264</v>
      </c>
      <c r="C172" s="85"/>
      <c r="D172" s="11" t="s">
        <v>16</v>
      </c>
      <c r="E172" s="36">
        <v>1</v>
      </c>
      <c r="F172" s="11">
        <v>1</v>
      </c>
      <c r="G172" s="11" t="s">
        <v>92</v>
      </c>
      <c r="H172" s="22">
        <v>46027</v>
      </c>
      <c r="I172" s="22">
        <v>46066</v>
      </c>
      <c r="J172" s="12" t="s">
        <v>22</v>
      </c>
      <c r="K172" s="13" t="s">
        <v>17</v>
      </c>
    </row>
    <row r="173" spans="1:11" s="14" customFormat="1" ht="54" x14ac:dyDescent="0.25">
      <c r="A173" s="21">
        <v>164</v>
      </c>
      <c r="B173" s="13" t="s">
        <v>265</v>
      </c>
      <c r="C173" s="85"/>
      <c r="D173" s="11" t="s">
        <v>16</v>
      </c>
      <c r="E173" s="36">
        <v>1</v>
      </c>
      <c r="F173" s="11">
        <v>1</v>
      </c>
      <c r="G173" s="11" t="s">
        <v>92</v>
      </c>
      <c r="H173" s="22">
        <v>46027</v>
      </c>
      <c r="I173" s="22">
        <v>46066</v>
      </c>
      <c r="J173" s="12" t="s">
        <v>22</v>
      </c>
      <c r="K173" s="13" t="s">
        <v>17</v>
      </c>
    </row>
    <row r="174" spans="1:11" s="14" customFormat="1" ht="54" x14ac:dyDescent="0.25">
      <c r="A174" s="21">
        <v>165</v>
      </c>
      <c r="B174" s="13" t="s">
        <v>266</v>
      </c>
      <c r="C174" s="85"/>
      <c r="D174" s="11" t="s">
        <v>16</v>
      </c>
      <c r="E174" s="36">
        <v>1</v>
      </c>
      <c r="F174" s="11">
        <v>1</v>
      </c>
      <c r="G174" s="11" t="s">
        <v>92</v>
      </c>
      <c r="H174" s="22">
        <v>46027</v>
      </c>
      <c r="I174" s="22">
        <v>46066</v>
      </c>
      <c r="J174" s="12" t="s">
        <v>22</v>
      </c>
      <c r="K174" s="13" t="s">
        <v>17</v>
      </c>
    </row>
    <row r="175" spans="1:11" s="14" customFormat="1" ht="54" x14ac:dyDescent="0.25">
      <c r="A175" s="21">
        <v>166</v>
      </c>
      <c r="B175" s="13" t="s">
        <v>267</v>
      </c>
      <c r="C175" s="85"/>
      <c r="D175" s="11" t="s">
        <v>16</v>
      </c>
      <c r="E175" s="36">
        <v>1</v>
      </c>
      <c r="F175" s="11">
        <v>1</v>
      </c>
      <c r="G175" s="11" t="s">
        <v>92</v>
      </c>
      <c r="H175" s="22">
        <v>46027</v>
      </c>
      <c r="I175" s="22">
        <v>46066</v>
      </c>
      <c r="J175" s="12" t="s">
        <v>22</v>
      </c>
      <c r="K175" s="13" t="s">
        <v>17</v>
      </c>
    </row>
    <row r="176" spans="1:11" s="14" customFormat="1" ht="54" x14ac:dyDescent="0.25">
      <c r="A176" s="21">
        <v>167</v>
      </c>
      <c r="B176" s="13" t="s">
        <v>268</v>
      </c>
      <c r="C176" s="85"/>
      <c r="D176" s="11" t="s">
        <v>16</v>
      </c>
      <c r="E176" s="36">
        <v>1</v>
      </c>
      <c r="F176" s="11">
        <v>1</v>
      </c>
      <c r="G176" s="11" t="s">
        <v>92</v>
      </c>
      <c r="H176" s="22">
        <v>46027</v>
      </c>
      <c r="I176" s="22">
        <v>46066</v>
      </c>
      <c r="J176" s="12" t="s">
        <v>22</v>
      </c>
      <c r="K176" s="13" t="s">
        <v>17</v>
      </c>
    </row>
    <row r="177" spans="1:11" s="14" customFormat="1" ht="54" x14ac:dyDescent="0.25">
      <c r="A177" s="21">
        <v>168</v>
      </c>
      <c r="B177" s="13" t="s">
        <v>269</v>
      </c>
      <c r="C177" s="85"/>
      <c r="D177" s="11" t="s">
        <v>16</v>
      </c>
      <c r="E177" s="36">
        <v>1</v>
      </c>
      <c r="F177" s="11">
        <v>1</v>
      </c>
      <c r="G177" s="11" t="s">
        <v>92</v>
      </c>
      <c r="H177" s="22">
        <v>46027</v>
      </c>
      <c r="I177" s="22">
        <v>46066</v>
      </c>
      <c r="J177" s="12" t="s">
        <v>22</v>
      </c>
      <c r="K177" s="13" t="s">
        <v>17</v>
      </c>
    </row>
    <row r="178" spans="1:11" s="14" customFormat="1" ht="54" x14ac:dyDescent="0.25">
      <c r="A178" s="21">
        <v>169</v>
      </c>
      <c r="B178" s="13" t="s">
        <v>270</v>
      </c>
      <c r="C178" s="85"/>
      <c r="D178" s="11" t="s">
        <v>16</v>
      </c>
      <c r="E178" s="36">
        <v>1</v>
      </c>
      <c r="F178" s="11"/>
      <c r="G178" s="11"/>
      <c r="H178" s="11"/>
      <c r="I178" s="11"/>
      <c r="J178" s="12" t="s">
        <v>13</v>
      </c>
      <c r="K178" s="13" t="s">
        <v>17</v>
      </c>
    </row>
    <row r="179" spans="1:11" s="14" customFormat="1" ht="54" x14ac:dyDescent="0.25">
      <c r="A179" s="21">
        <v>170</v>
      </c>
      <c r="B179" s="13" t="s">
        <v>271</v>
      </c>
      <c r="C179" s="85"/>
      <c r="D179" s="11" t="s">
        <v>16</v>
      </c>
      <c r="E179" s="36">
        <v>3</v>
      </c>
      <c r="F179" s="11">
        <v>8</v>
      </c>
      <c r="G179" s="11" t="s">
        <v>255</v>
      </c>
      <c r="H179" s="22">
        <v>45974</v>
      </c>
      <c r="I179" s="22">
        <v>45986</v>
      </c>
      <c r="J179" s="12" t="s">
        <v>22</v>
      </c>
      <c r="K179" s="13" t="s">
        <v>17</v>
      </c>
    </row>
    <row r="180" spans="1:11" s="14" customFormat="1" ht="36" x14ac:dyDescent="0.25">
      <c r="A180" s="21">
        <v>171</v>
      </c>
      <c r="B180" s="13" t="s">
        <v>272</v>
      </c>
      <c r="C180" s="85"/>
      <c r="D180" s="11" t="s">
        <v>16</v>
      </c>
      <c r="E180" s="36">
        <v>0.5</v>
      </c>
      <c r="F180" s="11">
        <v>0.4</v>
      </c>
      <c r="G180" s="11" t="s">
        <v>28</v>
      </c>
      <c r="H180" s="22">
        <v>45968</v>
      </c>
      <c r="I180" s="22">
        <v>45986</v>
      </c>
      <c r="J180" s="12" t="s">
        <v>22</v>
      </c>
      <c r="K180" s="13" t="s">
        <v>17</v>
      </c>
    </row>
    <row r="181" spans="1:11" s="14" customFormat="1" ht="36" x14ac:dyDescent="0.25">
      <c r="A181" s="21">
        <v>172</v>
      </c>
      <c r="B181" s="13" t="s">
        <v>273</v>
      </c>
      <c r="C181" s="85"/>
      <c r="D181" s="11" t="s">
        <v>16</v>
      </c>
      <c r="E181" s="36">
        <v>0.5</v>
      </c>
      <c r="F181" s="11">
        <v>0.5</v>
      </c>
      <c r="G181" s="11" t="s">
        <v>32</v>
      </c>
      <c r="H181" s="22">
        <v>45972</v>
      </c>
      <c r="I181" s="22">
        <v>45986</v>
      </c>
      <c r="J181" s="12" t="s">
        <v>22</v>
      </c>
      <c r="K181" s="13" t="s">
        <v>17</v>
      </c>
    </row>
    <row r="182" spans="1:11" s="14" customFormat="1" ht="36" x14ac:dyDescent="0.25">
      <c r="A182" s="21">
        <v>173</v>
      </c>
      <c r="B182" s="13" t="s">
        <v>274</v>
      </c>
      <c r="C182" s="85"/>
      <c r="D182" s="11" t="s">
        <v>16</v>
      </c>
      <c r="E182" s="36">
        <v>0.5</v>
      </c>
      <c r="F182" s="11">
        <v>1</v>
      </c>
      <c r="G182" s="11" t="s">
        <v>92</v>
      </c>
      <c r="H182" s="22">
        <v>46064</v>
      </c>
      <c r="I182" s="22">
        <v>46064</v>
      </c>
      <c r="J182" s="12" t="s">
        <v>22</v>
      </c>
      <c r="K182" s="13" t="s">
        <v>17</v>
      </c>
    </row>
    <row r="183" spans="1:11" s="14" customFormat="1" ht="36" x14ac:dyDescent="0.25">
      <c r="A183" s="21">
        <v>174</v>
      </c>
      <c r="B183" s="24" t="s">
        <v>275</v>
      </c>
      <c r="C183" s="85"/>
      <c r="D183" s="11" t="s">
        <v>12</v>
      </c>
      <c r="E183" s="36">
        <v>2</v>
      </c>
      <c r="F183" s="11"/>
      <c r="G183" s="11"/>
      <c r="H183" s="11"/>
      <c r="I183" s="11"/>
      <c r="J183" s="12" t="s">
        <v>13</v>
      </c>
      <c r="K183" s="13" t="s">
        <v>17</v>
      </c>
    </row>
    <row r="184" spans="1:11" s="14" customFormat="1" ht="36" x14ac:dyDescent="0.25">
      <c r="A184" s="21">
        <v>175</v>
      </c>
      <c r="B184" s="24" t="s">
        <v>276</v>
      </c>
      <c r="C184" s="85"/>
      <c r="D184" s="11" t="s">
        <v>12</v>
      </c>
      <c r="E184" s="36">
        <v>2</v>
      </c>
      <c r="F184" s="11"/>
      <c r="G184" s="11"/>
      <c r="H184" s="11"/>
      <c r="I184" s="11"/>
      <c r="J184" s="12" t="s">
        <v>13</v>
      </c>
      <c r="K184" s="13" t="s">
        <v>17</v>
      </c>
    </row>
    <row r="185" spans="1:11" s="14" customFormat="1" ht="36" x14ac:dyDescent="0.25">
      <c r="A185" s="21">
        <v>176</v>
      </c>
      <c r="B185" s="24" t="s">
        <v>277</v>
      </c>
      <c r="C185" s="85"/>
      <c r="D185" s="11" t="s">
        <v>12</v>
      </c>
      <c r="E185" s="36">
        <v>1</v>
      </c>
      <c r="F185" s="11"/>
      <c r="G185" s="11"/>
      <c r="H185" s="11"/>
      <c r="I185" s="11"/>
      <c r="J185" s="12" t="s">
        <v>13</v>
      </c>
      <c r="K185" s="13" t="s">
        <v>17</v>
      </c>
    </row>
    <row r="186" spans="1:11" s="14" customFormat="1" ht="18" x14ac:dyDescent="0.25">
      <c r="A186" s="21">
        <v>177</v>
      </c>
      <c r="B186" s="24" t="s">
        <v>278</v>
      </c>
      <c r="C186" s="85"/>
      <c r="D186" s="11" t="s">
        <v>12</v>
      </c>
      <c r="E186" s="36">
        <v>0.9</v>
      </c>
      <c r="F186" s="11"/>
      <c r="G186" s="11"/>
      <c r="H186" s="11"/>
      <c r="I186" s="11"/>
      <c r="J186" s="12" t="s">
        <v>13</v>
      </c>
      <c r="K186" s="13" t="s">
        <v>26</v>
      </c>
    </row>
    <row r="187" spans="1:11" s="14" customFormat="1" ht="36" x14ac:dyDescent="0.25">
      <c r="A187" s="21">
        <v>178</v>
      </c>
      <c r="B187" s="24" t="s">
        <v>279</v>
      </c>
      <c r="C187" s="85"/>
      <c r="D187" s="11" t="s">
        <v>12</v>
      </c>
      <c r="E187" s="36">
        <v>0.9</v>
      </c>
      <c r="F187" s="11"/>
      <c r="G187" s="11"/>
      <c r="H187" s="11"/>
      <c r="I187" s="11"/>
      <c r="J187" s="12" t="s">
        <v>13</v>
      </c>
      <c r="K187" s="13" t="s">
        <v>26</v>
      </c>
    </row>
    <row r="188" spans="1:11" s="14" customFormat="1" ht="36" x14ac:dyDescent="0.25">
      <c r="A188" s="21">
        <v>179</v>
      </c>
      <c r="B188" s="24" t="s">
        <v>280</v>
      </c>
      <c r="C188" s="85"/>
      <c r="D188" s="11" t="s">
        <v>12</v>
      </c>
      <c r="E188" s="36">
        <v>0.9</v>
      </c>
      <c r="F188" s="11"/>
      <c r="G188" s="11"/>
      <c r="H188" s="11"/>
      <c r="I188" s="11"/>
      <c r="J188" s="12" t="s">
        <v>13</v>
      </c>
      <c r="K188" s="13" t="s">
        <v>26</v>
      </c>
    </row>
    <row r="189" spans="1:11" s="14" customFormat="1" ht="36" x14ac:dyDescent="0.25">
      <c r="A189" s="21">
        <v>180</v>
      </c>
      <c r="B189" s="24" t="s">
        <v>281</v>
      </c>
      <c r="C189" s="85"/>
      <c r="D189" s="11" t="s">
        <v>12</v>
      </c>
      <c r="E189" s="36">
        <v>0.9</v>
      </c>
      <c r="F189" s="11"/>
      <c r="G189" s="11"/>
      <c r="H189" s="11"/>
      <c r="I189" s="11"/>
      <c r="J189" s="12" t="s">
        <v>13</v>
      </c>
      <c r="K189" s="13" t="s">
        <v>26</v>
      </c>
    </row>
    <row r="190" spans="1:11" s="14" customFormat="1" ht="54" x14ac:dyDescent="0.25">
      <c r="A190" s="21">
        <v>181</v>
      </c>
      <c r="B190" s="24" t="s">
        <v>282</v>
      </c>
      <c r="C190" s="85"/>
      <c r="D190" s="11" t="s">
        <v>16</v>
      </c>
      <c r="E190" s="36">
        <v>2</v>
      </c>
      <c r="F190" s="11"/>
      <c r="G190" s="11"/>
      <c r="H190" s="11"/>
      <c r="I190" s="11"/>
      <c r="J190" s="12" t="s">
        <v>13</v>
      </c>
      <c r="K190" s="13" t="s">
        <v>26</v>
      </c>
    </row>
    <row r="191" spans="1:11" s="14" customFormat="1" ht="36" x14ac:dyDescent="0.25">
      <c r="A191" s="21">
        <v>182</v>
      </c>
      <c r="B191" s="13" t="s">
        <v>283</v>
      </c>
      <c r="C191" s="85"/>
      <c r="D191" s="11" t="s">
        <v>12</v>
      </c>
      <c r="E191" s="36">
        <v>1</v>
      </c>
      <c r="F191" s="11">
        <v>1</v>
      </c>
      <c r="G191" s="11" t="s">
        <v>21</v>
      </c>
      <c r="H191" s="22">
        <v>45972</v>
      </c>
      <c r="I191" s="22">
        <v>45986</v>
      </c>
      <c r="J191" s="12" t="s">
        <v>22</v>
      </c>
      <c r="K191" s="13" t="s">
        <v>26</v>
      </c>
    </row>
    <row r="192" spans="1:11" s="14" customFormat="1" ht="72" x14ac:dyDescent="0.25">
      <c r="A192" s="21">
        <v>183</v>
      </c>
      <c r="B192" s="13" t="s">
        <v>284</v>
      </c>
      <c r="C192" s="85"/>
      <c r="D192" s="11" t="s">
        <v>12</v>
      </c>
      <c r="E192" s="36">
        <v>1</v>
      </c>
      <c r="F192" s="11">
        <v>1</v>
      </c>
      <c r="G192" s="11" t="s">
        <v>21</v>
      </c>
      <c r="H192" s="22">
        <v>45988</v>
      </c>
      <c r="I192" s="22">
        <v>45999</v>
      </c>
      <c r="J192" s="12" t="s">
        <v>22</v>
      </c>
      <c r="K192" s="13" t="s">
        <v>26</v>
      </c>
    </row>
    <row r="193" spans="1:11" s="14" customFormat="1" ht="72" x14ac:dyDescent="0.25">
      <c r="A193" s="21">
        <v>184</v>
      </c>
      <c r="B193" s="13" t="s">
        <v>285</v>
      </c>
      <c r="C193" s="85"/>
      <c r="D193" s="11" t="s">
        <v>12</v>
      </c>
      <c r="E193" s="36">
        <v>0.6</v>
      </c>
      <c r="F193" s="11">
        <v>0.5</v>
      </c>
      <c r="G193" s="11" t="s">
        <v>21</v>
      </c>
      <c r="H193" s="22">
        <v>46037</v>
      </c>
      <c r="I193" s="22">
        <v>46041</v>
      </c>
      <c r="J193" s="12" t="s">
        <v>22</v>
      </c>
      <c r="K193" s="13" t="s">
        <v>26</v>
      </c>
    </row>
    <row r="194" spans="1:11" s="14" customFormat="1" ht="36" x14ac:dyDescent="0.25">
      <c r="A194" s="21">
        <v>185</v>
      </c>
      <c r="B194" s="13" t="s">
        <v>286</v>
      </c>
      <c r="C194" s="85"/>
      <c r="D194" s="11" t="s">
        <v>12</v>
      </c>
      <c r="E194" s="36">
        <v>1</v>
      </c>
      <c r="F194" s="11">
        <v>2</v>
      </c>
      <c r="G194" s="11" t="s">
        <v>25</v>
      </c>
      <c r="H194" s="22">
        <v>46087</v>
      </c>
      <c r="I194" s="22">
        <v>46113</v>
      </c>
      <c r="J194" s="12" t="s">
        <v>22</v>
      </c>
      <c r="K194" s="13" t="s">
        <v>26</v>
      </c>
    </row>
    <row r="195" spans="1:11" s="14" customFormat="1" ht="36" x14ac:dyDescent="0.25">
      <c r="A195" s="21">
        <v>186</v>
      </c>
      <c r="B195" s="13" t="s">
        <v>287</v>
      </c>
      <c r="C195" s="85"/>
      <c r="D195" s="11" t="s">
        <v>12</v>
      </c>
      <c r="E195" s="36">
        <v>1</v>
      </c>
      <c r="F195" s="11"/>
      <c r="G195" s="11"/>
      <c r="H195" s="11"/>
      <c r="I195" s="11"/>
      <c r="J195" s="12" t="s">
        <v>13</v>
      </c>
      <c r="K195" s="13" t="s">
        <v>26</v>
      </c>
    </row>
    <row r="196" spans="1:11" s="14" customFormat="1" ht="36" x14ac:dyDescent="0.25">
      <c r="A196" s="21">
        <v>187</v>
      </c>
      <c r="B196" s="13" t="s">
        <v>288</v>
      </c>
      <c r="C196" s="85"/>
      <c r="D196" s="11" t="s">
        <v>12</v>
      </c>
      <c r="E196" s="36">
        <v>1</v>
      </c>
      <c r="F196" s="11"/>
      <c r="G196" s="11"/>
      <c r="H196" s="11"/>
      <c r="I196" s="11"/>
      <c r="J196" s="12" t="s">
        <v>13</v>
      </c>
      <c r="K196" s="13" t="s">
        <v>289</v>
      </c>
    </row>
    <row r="197" spans="1:11" s="14" customFormat="1" ht="54" x14ac:dyDescent="0.25">
      <c r="A197" s="21">
        <v>188</v>
      </c>
      <c r="B197" s="13" t="s">
        <v>290</v>
      </c>
      <c r="C197" s="85"/>
      <c r="D197" s="11" t="s">
        <v>16</v>
      </c>
      <c r="E197" s="36">
        <v>1</v>
      </c>
      <c r="F197" s="11"/>
      <c r="G197" s="11"/>
      <c r="H197" s="11"/>
      <c r="I197" s="11"/>
      <c r="J197" s="12" t="s">
        <v>13</v>
      </c>
      <c r="K197" s="13" t="s">
        <v>26</v>
      </c>
    </row>
    <row r="198" spans="1:11" s="14" customFormat="1" ht="72" x14ac:dyDescent="0.25">
      <c r="A198" s="21">
        <v>189</v>
      </c>
      <c r="B198" s="13" t="s">
        <v>291</v>
      </c>
      <c r="C198" s="85"/>
      <c r="D198" s="11" t="s">
        <v>12</v>
      </c>
      <c r="E198" s="36">
        <v>1</v>
      </c>
      <c r="F198" s="11"/>
      <c r="G198" s="11"/>
      <c r="H198" s="11"/>
      <c r="I198" s="11"/>
      <c r="J198" s="12" t="s">
        <v>13</v>
      </c>
      <c r="K198" s="13" t="s">
        <v>292</v>
      </c>
    </row>
    <row r="199" spans="1:11" s="14" customFormat="1" ht="72" x14ac:dyDescent="0.25">
      <c r="A199" s="21">
        <v>190</v>
      </c>
      <c r="B199" s="13" t="s">
        <v>293</v>
      </c>
      <c r="C199" s="85"/>
      <c r="D199" s="11" t="s">
        <v>12</v>
      </c>
      <c r="E199" s="36">
        <v>1</v>
      </c>
      <c r="F199" s="11"/>
      <c r="G199" s="11"/>
      <c r="H199" s="11"/>
      <c r="I199" s="11"/>
      <c r="J199" s="12" t="s">
        <v>13</v>
      </c>
      <c r="K199" s="13" t="s">
        <v>294</v>
      </c>
    </row>
    <row r="200" spans="1:11" s="14" customFormat="1" ht="54" x14ac:dyDescent="0.25">
      <c r="A200" s="21">
        <v>191</v>
      </c>
      <c r="B200" s="13" t="s">
        <v>295</v>
      </c>
      <c r="C200" s="85"/>
      <c r="D200" s="11" t="s">
        <v>12</v>
      </c>
      <c r="E200" s="36">
        <v>1</v>
      </c>
      <c r="F200" s="11"/>
      <c r="G200" s="11"/>
      <c r="H200" s="11"/>
      <c r="I200" s="11"/>
      <c r="J200" s="12" t="s">
        <v>13</v>
      </c>
      <c r="K200" s="13" t="s">
        <v>296</v>
      </c>
    </row>
    <row r="201" spans="1:11" s="14" customFormat="1" ht="54" x14ac:dyDescent="0.25">
      <c r="A201" s="21">
        <v>192</v>
      </c>
      <c r="B201" s="13" t="s">
        <v>297</v>
      </c>
      <c r="C201" s="85"/>
      <c r="D201" s="11" t="s">
        <v>12</v>
      </c>
      <c r="E201" s="36">
        <v>1</v>
      </c>
      <c r="F201" s="11"/>
      <c r="G201" s="11"/>
      <c r="H201" s="11"/>
      <c r="I201" s="11"/>
      <c r="J201" s="12" t="s">
        <v>13</v>
      </c>
      <c r="K201" s="13" t="s">
        <v>292</v>
      </c>
    </row>
    <row r="202" spans="1:11" s="14" customFormat="1" ht="54" x14ac:dyDescent="0.25">
      <c r="A202" s="21">
        <v>193</v>
      </c>
      <c r="B202" s="13" t="s">
        <v>298</v>
      </c>
      <c r="C202" s="85"/>
      <c r="D202" s="11" t="s">
        <v>16</v>
      </c>
      <c r="E202" s="36">
        <v>1</v>
      </c>
      <c r="F202" s="11"/>
      <c r="G202" s="11"/>
      <c r="H202" s="11"/>
      <c r="I202" s="11"/>
      <c r="J202" s="12" t="s">
        <v>13</v>
      </c>
      <c r="K202" s="13" t="s">
        <v>299</v>
      </c>
    </row>
    <row r="203" spans="1:11" s="14" customFormat="1" ht="108" x14ac:dyDescent="0.25">
      <c r="A203" s="21">
        <v>194</v>
      </c>
      <c r="B203" s="13" t="s">
        <v>300</v>
      </c>
      <c r="C203" s="85"/>
      <c r="D203" s="11" t="s">
        <v>12</v>
      </c>
      <c r="E203" s="36">
        <v>1</v>
      </c>
      <c r="F203" s="11"/>
      <c r="G203" s="11"/>
      <c r="H203" s="11"/>
      <c r="I203" s="11"/>
      <c r="J203" s="12" t="s">
        <v>13</v>
      </c>
      <c r="K203" s="13" t="s">
        <v>301</v>
      </c>
    </row>
    <row r="204" spans="1:11" s="14" customFormat="1" ht="36" x14ac:dyDescent="0.25">
      <c r="A204" s="21">
        <v>195</v>
      </c>
      <c r="B204" s="13" t="s">
        <v>302</v>
      </c>
      <c r="C204" s="85"/>
      <c r="D204" s="11"/>
      <c r="E204" s="36">
        <v>0.6</v>
      </c>
      <c r="F204" s="11">
        <v>1</v>
      </c>
      <c r="G204" s="11" t="s">
        <v>21</v>
      </c>
      <c r="H204" s="22">
        <v>46077</v>
      </c>
      <c r="I204" s="22">
        <v>46078</v>
      </c>
      <c r="J204" s="12" t="s">
        <v>22</v>
      </c>
      <c r="K204" s="13" t="s">
        <v>303</v>
      </c>
    </row>
    <row r="205" spans="1:11" s="14" customFormat="1" ht="36" x14ac:dyDescent="0.25">
      <c r="A205" s="21">
        <v>196</v>
      </c>
      <c r="B205" s="13" t="s">
        <v>304</v>
      </c>
      <c r="C205" s="85"/>
      <c r="D205" s="11" t="s">
        <v>12</v>
      </c>
      <c r="E205" s="36">
        <v>2</v>
      </c>
      <c r="F205" s="11">
        <v>3</v>
      </c>
      <c r="G205" s="11" t="s">
        <v>25</v>
      </c>
      <c r="H205" s="22">
        <v>45979</v>
      </c>
      <c r="I205" s="22">
        <v>45981</v>
      </c>
      <c r="J205" s="12" t="s">
        <v>22</v>
      </c>
      <c r="K205" s="13" t="s">
        <v>26</v>
      </c>
    </row>
    <row r="206" spans="1:11" s="14" customFormat="1" ht="54" x14ac:dyDescent="0.25">
      <c r="A206" s="21">
        <v>197</v>
      </c>
      <c r="B206" s="13" t="s">
        <v>305</v>
      </c>
      <c r="C206" s="85"/>
      <c r="D206" s="11" t="s">
        <v>12</v>
      </c>
      <c r="E206" s="36">
        <v>1</v>
      </c>
      <c r="F206" s="11"/>
      <c r="G206" s="11"/>
      <c r="H206" s="11"/>
      <c r="I206" s="11"/>
      <c r="J206" s="12" t="s">
        <v>13</v>
      </c>
      <c r="K206" s="13" t="s">
        <v>26</v>
      </c>
    </row>
    <row r="207" spans="1:11" s="20" customFormat="1" ht="18" x14ac:dyDescent="0.25">
      <c r="A207" s="23"/>
      <c r="B207" s="16" t="s">
        <v>306</v>
      </c>
      <c r="C207" s="17">
        <v>193</v>
      </c>
      <c r="D207" s="18"/>
      <c r="E207" s="15"/>
      <c r="F207" s="17">
        <f>SUM(F208:F413)</f>
        <v>172.85000000000002</v>
      </c>
      <c r="G207" s="18"/>
      <c r="H207" s="18"/>
      <c r="I207" s="18"/>
      <c r="J207" s="18"/>
      <c r="K207" s="19"/>
    </row>
    <row r="208" spans="1:11" s="14" customFormat="1" ht="36" x14ac:dyDescent="0.25">
      <c r="A208" s="23">
        <v>198</v>
      </c>
      <c r="B208" s="24" t="s">
        <v>307</v>
      </c>
      <c r="C208" s="25"/>
      <c r="D208" s="11" t="s">
        <v>12</v>
      </c>
      <c r="E208" s="36">
        <v>0.8</v>
      </c>
      <c r="F208" s="11"/>
      <c r="G208" s="11"/>
      <c r="H208" s="11"/>
      <c r="I208" s="11"/>
      <c r="J208" s="12" t="s">
        <v>13</v>
      </c>
      <c r="K208" s="13" t="s">
        <v>17</v>
      </c>
    </row>
    <row r="209" spans="1:11" s="14" customFormat="1" ht="36" x14ac:dyDescent="0.25">
      <c r="A209" s="23">
        <v>199</v>
      </c>
      <c r="B209" s="13" t="s">
        <v>308</v>
      </c>
      <c r="C209" s="25"/>
      <c r="D209" s="11" t="s">
        <v>12</v>
      </c>
      <c r="E209" s="36">
        <v>0.8</v>
      </c>
      <c r="F209" s="11"/>
      <c r="G209" s="11"/>
      <c r="H209" s="11"/>
      <c r="I209" s="11"/>
      <c r="J209" s="12" t="s">
        <v>13</v>
      </c>
      <c r="K209" s="13" t="s">
        <v>17</v>
      </c>
    </row>
    <row r="210" spans="1:11" s="14" customFormat="1" ht="36" x14ac:dyDescent="0.25">
      <c r="A210" s="23">
        <v>200</v>
      </c>
      <c r="B210" s="13" t="s">
        <v>309</v>
      </c>
      <c r="C210" s="25"/>
      <c r="D210" s="11" t="s">
        <v>12</v>
      </c>
      <c r="E210" s="36">
        <v>0.8</v>
      </c>
      <c r="F210" s="11"/>
      <c r="G210" s="11"/>
      <c r="H210" s="11"/>
      <c r="I210" s="11"/>
      <c r="J210" s="12" t="s">
        <v>13</v>
      </c>
      <c r="K210" s="13" t="s">
        <v>17</v>
      </c>
    </row>
    <row r="211" spans="1:11" s="14" customFormat="1" ht="36" x14ac:dyDescent="0.25">
      <c r="A211" s="23">
        <v>201</v>
      </c>
      <c r="B211" s="13" t="s">
        <v>310</v>
      </c>
      <c r="C211" s="25"/>
      <c r="D211" s="11" t="s">
        <v>12</v>
      </c>
      <c r="E211" s="36">
        <v>0.8</v>
      </c>
      <c r="F211" s="11"/>
      <c r="G211" s="11"/>
      <c r="H211" s="11"/>
      <c r="I211" s="11"/>
      <c r="J211" s="12" t="s">
        <v>13</v>
      </c>
      <c r="K211" s="13" t="s">
        <v>17</v>
      </c>
    </row>
    <row r="212" spans="1:11" s="14" customFormat="1" ht="36" x14ac:dyDescent="0.25">
      <c r="A212" s="23">
        <v>202</v>
      </c>
      <c r="B212" s="13" t="s">
        <v>311</v>
      </c>
      <c r="C212" s="25"/>
      <c r="D212" s="11" t="s">
        <v>12</v>
      </c>
      <c r="E212" s="36">
        <v>0.8</v>
      </c>
      <c r="F212" s="11"/>
      <c r="G212" s="11"/>
      <c r="H212" s="11"/>
      <c r="I212" s="11"/>
      <c r="J212" s="12" t="s">
        <v>13</v>
      </c>
      <c r="K212" s="13" t="s">
        <v>17</v>
      </c>
    </row>
    <row r="213" spans="1:11" s="14" customFormat="1" ht="54" x14ac:dyDescent="0.25">
      <c r="A213" s="23">
        <v>203</v>
      </c>
      <c r="B213" s="13" t="s">
        <v>312</v>
      </c>
      <c r="C213" s="25"/>
      <c r="D213" s="11" t="s">
        <v>12</v>
      </c>
      <c r="E213" s="36">
        <v>0.8</v>
      </c>
      <c r="F213" s="11"/>
      <c r="G213" s="11"/>
      <c r="H213" s="11"/>
      <c r="I213" s="11"/>
      <c r="J213" s="12" t="s">
        <v>13</v>
      </c>
      <c r="K213" s="13" t="s">
        <v>17</v>
      </c>
    </row>
    <row r="214" spans="1:11" s="14" customFormat="1" ht="36" x14ac:dyDescent="0.25">
      <c r="A214" s="23">
        <v>204</v>
      </c>
      <c r="B214" s="13" t="s">
        <v>313</v>
      </c>
      <c r="C214" s="25"/>
      <c r="D214" s="11" t="s">
        <v>12</v>
      </c>
      <c r="E214" s="36">
        <v>0.8</v>
      </c>
      <c r="F214" s="11"/>
      <c r="G214" s="11"/>
      <c r="H214" s="11"/>
      <c r="I214" s="11"/>
      <c r="J214" s="12" t="s">
        <v>13</v>
      </c>
      <c r="K214" s="13" t="s">
        <v>17</v>
      </c>
    </row>
    <row r="215" spans="1:11" s="14" customFormat="1" ht="36" x14ac:dyDescent="0.25">
      <c r="A215" s="23">
        <v>205</v>
      </c>
      <c r="B215" s="13" t="s">
        <v>314</v>
      </c>
      <c r="C215" s="25"/>
      <c r="D215" s="11" t="s">
        <v>12</v>
      </c>
      <c r="E215" s="36">
        <v>0.8</v>
      </c>
      <c r="F215" s="11"/>
      <c r="G215" s="11"/>
      <c r="H215" s="11"/>
      <c r="I215" s="11"/>
      <c r="J215" s="12" t="s">
        <v>13</v>
      </c>
      <c r="K215" s="13" t="s">
        <v>17</v>
      </c>
    </row>
    <row r="216" spans="1:11" s="14" customFormat="1" ht="54" x14ac:dyDescent="0.25">
      <c r="A216" s="23">
        <v>206</v>
      </c>
      <c r="B216" s="13" t="s">
        <v>315</v>
      </c>
      <c r="C216" s="25"/>
      <c r="D216" s="11" t="s">
        <v>12</v>
      </c>
      <c r="E216" s="36">
        <v>0.8</v>
      </c>
      <c r="F216" s="11"/>
      <c r="G216" s="11"/>
      <c r="H216" s="11"/>
      <c r="I216" s="11"/>
      <c r="J216" s="12" t="s">
        <v>13</v>
      </c>
      <c r="K216" s="13" t="s">
        <v>17</v>
      </c>
    </row>
    <row r="217" spans="1:11" s="14" customFormat="1" ht="36" x14ac:dyDescent="0.25">
      <c r="A217" s="23">
        <v>207</v>
      </c>
      <c r="B217" s="13" t="s">
        <v>316</v>
      </c>
      <c r="C217" s="25"/>
      <c r="D217" s="11" t="s">
        <v>12</v>
      </c>
      <c r="E217" s="36">
        <v>1</v>
      </c>
      <c r="F217" s="11">
        <v>2</v>
      </c>
      <c r="G217" s="11" t="s">
        <v>21</v>
      </c>
      <c r="H217" s="22">
        <v>46028</v>
      </c>
      <c r="I217" s="22">
        <v>46029</v>
      </c>
      <c r="J217" s="12" t="s">
        <v>22</v>
      </c>
      <c r="K217" s="13" t="s">
        <v>17</v>
      </c>
    </row>
    <row r="218" spans="1:11" s="14" customFormat="1" ht="54" x14ac:dyDescent="0.25">
      <c r="A218" s="23">
        <v>208</v>
      </c>
      <c r="B218" s="13" t="s">
        <v>317</v>
      </c>
      <c r="C218" s="25"/>
      <c r="D218" s="11" t="s">
        <v>12</v>
      </c>
      <c r="E218" s="36">
        <v>1</v>
      </c>
      <c r="F218" s="11">
        <v>2</v>
      </c>
      <c r="G218" s="11" t="s">
        <v>21</v>
      </c>
      <c r="H218" s="22">
        <v>46032</v>
      </c>
      <c r="I218" s="22">
        <v>46041</v>
      </c>
      <c r="J218" s="12" t="s">
        <v>22</v>
      </c>
      <c r="K218" s="13" t="s">
        <v>17</v>
      </c>
    </row>
    <row r="219" spans="1:11" s="14" customFormat="1" ht="54" x14ac:dyDescent="0.25">
      <c r="A219" s="23">
        <v>209</v>
      </c>
      <c r="B219" s="13" t="s">
        <v>318</v>
      </c>
      <c r="C219" s="25"/>
      <c r="D219" s="11" t="s">
        <v>12</v>
      </c>
      <c r="E219" s="36">
        <v>1</v>
      </c>
      <c r="F219" s="11">
        <v>1.5</v>
      </c>
      <c r="G219" s="11" t="s">
        <v>21</v>
      </c>
      <c r="H219" s="22">
        <v>46032</v>
      </c>
      <c r="I219" s="22">
        <v>46038</v>
      </c>
      <c r="J219" s="12" t="s">
        <v>22</v>
      </c>
      <c r="K219" s="13" t="s">
        <v>17</v>
      </c>
    </row>
    <row r="220" spans="1:11" s="14" customFormat="1" ht="54" x14ac:dyDescent="0.25">
      <c r="A220" s="23">
        <v>210</v>
      </c>
      <c r="B220" s="13" t="s">
        <v>319</v>
      </c>
      <c r="C220" s="25"/>
      <c r="D220" s="11" t="s">
        <v>12</v>
      </c>
      <c r="E220" s="36">
        <v>1</v>
      </c>
      <c r="F220" s="11">
        <v>1</v>
      </c>
      <c r="G220" s="11" t="s">
        <v>21</v>
      </c>
      <c r="H220" s="22">
        <v>46032</v>
      </c>
      <c r="I220" s="22">
        <v>46038</v>
      </c>
      <c r="J220" s="12" t="s">
        <v>22</v>
      </c>
      <c r="K220" s="13" t="s">
        <v>17</v>
      </c>
    </row>
    <row r="221" spans="1:11" s="14" customFormat="1" ht="54" x14ac:dyDescent="0.25">
      <c r="A221" s="23">
        <v>211</v>
      </c>
      <c r="B221" s="13" t="s">
        <v>320</v>
      </c>
      <c r="C221" s="25"/>
      <c r="D221" s="11" t="s">
        <v>12</v>
      </c>
      <c r="E221" s="36">
        <v>0.6</v>
      </c>
      <c r="F221" s="11">
        <v>1</v>
      </c>
      <c r="G221" s="11" t="s">
        <v>21</v>
      </c>
      <c r="H221" s="22">
        <v>46032</v>
      </c>
      <c r="I221" s="22">
        <v>46038</v>
      </c>
      <c r="J221" s="12" t="s">
        <v>22</v>
      </c>
      <c r="K221" s="13" t="s">
        <v>17</v>
      </c>
    </row>
    <row r="222" spans="1:11" s="14" customFormat="1" ht="36" x14ac:dyDescent="0.25">
      <c r="A222" s="23">
        <v>212</v>
      </c>
      <c r="B222" s="13" t="s">
        <v>321</v>
      </c>
      <c r="C222" s="25"/>
      <c r="D222" s="11" t="s">
        <v>16</v>
      </c>
      <c r="E222" s="36">
        <v>1</v>
      </c>
      <c r="F222" s="11"/>
      <c r="G222" s="11"/>
      <c r="H222" s="11"/>
      <c r="I222" s="11"/>
      <c r="J222" s="12" t="s">
        <v>13</v>
      </c>
      <c r="K222" s="13" t="s">
        <v>17</v>
      </c>
    </row>
    <row r="223" spans="1:11" s="14" customFormat="1" ht="36" x14ac:dyDescent="0.25">
      <c r="A223" s="23">
        <v>213</v>
      </c>
      <c r="B223" s="13" t="s">
        <v>322</v>
      </c>
      <c r="C223" s="25"/>
      <c r="D223" s="11" t="s">
        <v>16</v>
      </c>
      <c r="E223" s="36">
        <v>0.6</v>
      </c>
      <c r="F223" s="11"/>
      <c r="G223" s="11"/>
      <c r="H223" s="11"/>
      <c r="I223" s="11"/>
      <c r="J223" s="12" t="s">
        <v>13</v>
      </c>
      <c r="K223" s="13" t="s">
        <v>17</v>
      </c>
    </row>
    <row r="224" spans="1:11" s="14" customFormat="1" ht="36" x14ac:dyDescent="0.25">
      <c r="A224" s="23">
        <v>214</v>
      </c>
      <c r="B224" s="13" t="s">
        <v>323</v>
      </c>
      <c r="C224" s="25"/>
      <c r="D224" s="11" t="s">
        <v>16</v>
      </c>
      <c r="E224" s="36">
        <v>0.6</v>
      </c>
      <c r="F224" s="11"/>
      <c r="G224" s="11"/>
      <c r="H224" s="11"/>
      <c r="I224" s="11"/>
      <c r="J224" s="12" t="s">
        <v>13</v>
      </c>
      <c r="K224" s="13" t="s">
        <v>17</v>
      </c>
    </row>
    <row r="225" spans="1:11" s="14" customFormat="1" ht="36" x14ac:dyDescent="0.25">
      <c r="A225" s="23">
        <v>215</v>
      </c>
      <c r="B225" s="13" t="s">
        <v>324</v>
      </c>
      <c r="C225" s="25"/>
      <c r="D225" s="11" t="s">
        <v>16</v>
      </c>
      <c r="E225" s="36">
        <v>0.6</v>
      </c>
      <c r="F225" s="11"/>
      <c r="G225" s="11"/>
      <c r="H225" s="11"/>
      <c r="I225" s="11"/>
      <c r="J225" s="12" t="s">
        <v>13</v>
      </c>
      <c r="K225" s="13" t="s">
        <v>17</v>
      </c>
    </row>
    <row r="226" spans="1:11" s="14" customFormat="1" ht="54" x14ac:dyDescent="0.25">
      <c r="A226" s="23">
        <v>216</v>
      </c>
      <c r="B226" s="13" t="s">
        <v>325</v>
      </c>
      <c r="C226" s="25"/>
      <c r="D226" s="11" t="s">
        <v>16</v>
      </c>
      <c r="E226" s="36">
        <v>0.6</v>
      </c>
      <c r="F226" s="11"/>
      <c r="G226" s="11"/>
      <c r="H226" s="11"/>
      <c r="I226" s="11"/>
      <c r="J226" s="12" t="s">
        <v>13</v>
      </c>
      <c r="K226" s="13" t="s">
        <v>17</v>
      </c>
    </row>
    <row r="227" spans="1:11" s="14" customFormat="1" ht="54" x14ac:dyDescent="0.25">
      <c r="A227" s="23">
        <v>217</v>
      </c>
      <c r="B227" s="13" t="s">
        <v>326</v>
      </c>
      <c r="C227" s="25"/>
      <c r="D227" s="11" t="s">
        <v>16</v>
      </c>
      <c r="E227" s="36">
        <v>0.6</v>
      </c>
      <c r="F227" s="11"/>
      <c r="G227" s="11"/>
      <c r="H227" s="11"/>
      <c r="I227" s="11"/>
      <c r="J227" s="12" t="s">
        <v>13</v>
      </c>
      <c r="K227" s="13" t="s">
        <v>17</v>
      </c>
    </row>
    <row r="228" spans="1:11" s="14" customFormat="1" ht="36" x14ac:dyDescent="0.25">
      <c r="A228" s="23">
        <v>218</v>
      </c>
      <c r="B228" s="13" t="s">
        <v>327</v>
      </c>
      <c r="C228" s="25"/>
      <c r="D228" s="11" t="s">
        <v>16</v>
      </c>
      <c r="E228" s="36">
        <v>0.6</v>
      </c>
      <c r="F228" s="11"/>
      <c r="G228" s="11"/>
      <c r="H228" s="11"/>
      <c r="I228" s="11"/>
      <c r="J228" s="12" t="s">
        <v>13</v>
      </c>
      <c r="K228" s="13" t="s">
        <v>17</v>
      </c>
    </row>
    <row r="229" spans="1:11" s="14" customFormat="1" ht="36" x14ac:dyDescent="0.25">
      <c r="A229" s="23">
        <v>219</v>
      </c>
      <c r="B229" s="13" t="s">
        <v>328</v>
      </c>
      <c r="C229" s="25"/>
      <c r="D229" s="11" t="s">
        <v>12</v>
      </c>
      <c r="E229" s="36">
        <v>1</v>
      </c>
      <c r="F229" s="11"/>
      <c r="G229" s="11"/>
      <c r="H229" s="11"/>
      <c r="I229" s="11"/>
      <c r="J229" s="12" t="s">
        <v>13</v>
      </c>
      <c r="K229" s="13" t="s">
        <v>17</v>
      </c>
    </row>
    <row r="230" spans="1:11" s="14" customFormat="1" ht="36" x14ac:dyDescent="0.25">
      <c r="A230" s="23">
        <v>220</v>
      </c>
      <c r="B230" s="13" t="s">
        <v>329</v>
      </c>
      <c r="C230" s="25"/>
      <c r="D230" s="11" t="s">
        <v>12</v>
      </c>
      <c r="E230" s="36">
        <v>1</v>
      </c>
      <c r="F230" s="11"/>
      <c r="G230" s="11"/>
      <c r="H230" s="11"/>
      <c r="I230" s="11"/>
      <c r="J230" s="12" t="s">
        <v>13</v>
      </c>
      <c r="K230" s="13" t="s">
        <v>17</v>
      </c>
    </row>
    <row r="231" spans="1:11" s="14" customFormat="1" ht="36" x14ac:dyDescent="0.25">
      <c r="A231" s="23">
        <v>221</v>
      </c>
      <c r="B231" s="13" t="s">
        <v>330</v>
      </c>
      <c r="C231" s="25"/>
      <c r="D231" s="11" t="s">
        <v>12</v>
      </c>
      <c r="E231" s="36">
        <v>1</v>
      </c>
      <c r="F231" s="11">
        <v>3</v>
      </c>
      <c r="G231" s="11" t="s">
        <v>25</v>
      </c>
      <c r="H231" s="22">
        <v>46078</v>
      </c>
      <c r="I231" s="22">
        <v>46078</v>
      </c>
      <c r="J231" s="12" t="s">
        <v>22</v>
      </c>
      <c r="K231" s="13" t="s">
        <v>26</v>
      </c>
    </row>
    <row r="232" spans="1:11" s="14" customFormat="1" ht="54" x14ac:dyDescent="0.25">
      <c r="A232" s="23">
        <v>222</v>
      </c>
      <c r="B232" s="13" t="s">
        <v>331</v>
      </c>
      <c r="C232" s="25"/>
      <c r="D232" s="11" t="s">
        <v>12</v>
      </c>
      <c r="E232" s="36">
        <v>1.25</v>
      </c>
      <c r="F232" s="11"/>
      <c r="G232" s="11"/>
      <c r="H232" s="11"/>
      <c r="I232" s="11"/>
      <c r="J232" s="12" t="s">
        <v>13</v>
      </c>
      <c r="K232" s="13" t="s">
        <v>26</v>
      </c>
    </row>
    <row r="233" spans="1:11" s="14" customFormat="1" ht="36" x14ac:dyDescent="0.25">
      <c r="A233" s="23">
        <v>223</v>
      </c>
      <c r="B233" s="13" t="s">
        <v>332</v>
      </c>
      <c r="C233" s="25"/>
      <c r="D233" s="11" t="s">
        <v>12</v>
      </c>
      <c r="E233" s="36">
        <v>3</v>
      </c>
      <c r="F233" s="11"/>
      <c r="G233" s="11"/>
      <c r="H233" s="11"/>
      <c r="I233" s="11"/>
      <c r="J233" s="12" t="s">
        <v>13</v>
      </c>
      <c r="K233" s="13" t="s">
        <v>26</v>
      </c>
    </row>
    <row r="234" spans="1:11" s="14" customFormat="1" ht="36" x14ac:dyDescent="0.25">
      <c r="A234" s="23">
        <v>224</v>
      </c>
      <c r="B234" s="13" t="s">
        <v>333</v>
      </c>
      <c r="C234" s="25"/>
      <c r="D234" s="11" t="s">
        <v>16</v>
      </c>
      <c r="E234" s="36">
        <v>0.5</v>
      </c>
      <c r="F234" s="11"/>
      <c r="G234" s="11"/>
      <c r="H234" s="11"/>
      <c r="I234" s="11"/>
      <c r="J234" s="12" t="s">
        <v>13</v>
      </c>
      <c r="K234" s="13" t="s">
        <v>334</v>
      </c>
    </row>
    <row r="235" spans="1:11" s="14" customFormat="1" ht="36" x14ac:dyDescent="0.25">
      <c r="A235" s="23">
        <v>225</v>
      </c>
      <c r="B235" s="13" t="s">
        <v>335</v>
      </c>
      <c r="C235" s="25"/>
      <c r="D235" s="11" t="s">
        <v>16</v>
      </c>
      <c r="E235" s="36">
        <v>0.5</v>
      </c>
      <c r="F235" s="11"/>
      <c r="G235" s="11"/>
      <c r="H235" s="11"/>
      <c r="I235" s="11"/>
      <c r="J235" s="12" t="s">
        <v>13</v>
      </c>
      <c r="K235" s="13" t="s">
        <v>336</v>
      </c>
    </row>
    <row r="236" spans="1:11" s="14" customFormat="1" ht="36" x14ac:dyDescent="0.25">
      <c r="A236" s="23">
        <v>226</v>
      </c>
      <c r="B236" s="13" t="s">
        <v>337</v>
      </c>
      <c r="C236" s="25"/>
      <c r="D236" s="11" t="s">
        <v>16</v>
      </c>
      <c r="E236" s="36">
        <v>1</v>
      </c>
      <c r="F236" s="11"/>
      <c r="G236" s="11"/>
      <c r="H236" s="11"/>
      <c r="I236" s="11"/>
      <c r="J236" s="12" t="s">
        <v>13</v>
      </c>
      <c r="K236" s="13" t="s">
        <v>338</v>
      </c>
    </row>
    <row r="237" spans="1:11" s="14" customFormat="1" ht="54" x14ac:dyDescent="0.25">
      <c r="A237" s="23">
        <v>227</v>
      </c>
      <c r="B237" s="13" t="s">
        <v>339</v>
      </c>
      <c r="C237" s="25"/>
      <c r="D237" s="11" t="s">
        <v>16</v>
      </c>
      <c r="E237" s="36">
        <v>0.53</v>
      </c>
      <c r="F237" s="11"/>
      <c r="G237" s="11"/>
      <c r="H237" s="11"/>
      <c r="I237" s="11"/>
      <c r="J237" s="12" t="s">
        <v>13</v>
      </c>
      <c r="K237" s="13" t="s">
        <v>340</v>
      </c>
    </row>
    <row r="238" spans="1:11" s="14" customFormat="1" ht="36" x14ac:dyDescent="0.25">
      <c r="A238" s="23">
        <v>228</v>
      </c>
      <c r="B238" s="13" t="s">
        <v>341</v>
      </c>
      <c r="C238" s="25"/>
      <c r="D238" s="11" t="s">
        <v>12</v>
      </c>
      <c r="E238" s="36">
        <v>1</v>
      </c>
      <c r="F238" s="11">
        <v>1</v>
      </c>
      <c r="G238" s="11" t="s">
        <v>21</v>
      </c>
      <c r="H238" s="22">
        <v>46077</v>
      </c>
      <c r="I238" s="22">
        <v>46078</v>
      </c>
      <c r="J238" s="12" t="s">
        <v>22</v>
      </c>
      <c r="K238" s="13" t="s">
        <v>342</v>
      </c>
    </row>
    <row r="239" spans="1:11" s="14" customFormat="1" ht="36" x14ac:dyDescent="0.25">
      <c r="A239" s="23">
        <v>229</v>
      </c>
      <c r="B239" s="13" t="s">
        <v>343</v>
      </c>
      <c r="C239" s="25"/>
      <c r="D239" s="11" t="s">
        <v>16</v>
      </c>
      <c r="E239" s="36">
        <v>0.7</v>
      </c>
      <c r="F239" s="11"/>
      <c r="G239" s="11"/>
      <c r="H239" s="11"/>
      <c r="I239" s="11"/>
      <c r="J239" s="12" t="s">
        <v>13</v>
      </c>
      <c r="K239" s="13" t="s">
        <v>26</v>
      </c>
    </row>
    <row r="240" spans="1:11" s="14" customFormat="1" ht="36" x14ac:dyDescent="0.25">
      <c r="A240" s="23">
        <v>230</v>
      </c>
      <c r="B240" s="13" t="s">
        <v>344</v>
      </c>
      <c r="C240" s="25"/>
      <c r="D240" s="11" t="s">
        <v>16</v>
      </c>
      <c r="E240" s="36">
        <v>1</v>
      </c>
      <c r="F240" s="11"/>
      <c r="G240" s="11"/>
      <c r="H240" s="11"/>
      <c r="I240" s="11"/>
      <c r="J240" s="12" t="s">
        <v>13</v>
      </c>
      <c r="K240" s="13" t="s">
        <v>345</v>
      </c>
    </row>
    <row r="241" spans="1:11" s="14" customFormat="1" ht="72" x14ac:dyDescent="0.25">
      <c r="A241" s="23">
        <v>231</v>
      </c>
      <c r="B241" s="13" t="s">
        <v>346</v>
      </c>
      <c r="C241" s="25"/>
      <c r="D241" s="11" t="s">
        <v>12</v>
      </c>
      <c r="E241" s="36">
        <v>1</v>
      </c>
      <c r="F241" s="11"/>
      <c r="G241" s="11"/>
      <c r="H241" s="11"/>
      <c r="I241" s="11"/>
      <c r="J241" s="12" t="s">
        <v>13</v>
      </c>
      <c r="K241" s="13" t="s">
        <v>347</v>
      </c>
    </row>
    <row r="242" spans="1:11" s="14" customFormat="1" ht="90" x14ac:dyDescent="0.25">
      <c r="A242" s="23">
        <v>232</v>
      </c>
      <c r="B242" s="13" t="s">
        <v>348</v>
      </c>
      <c r="C242" s="25"/>
      <c r="D242" s="11" t="s">
        <v>12</v>
      </c>
      <c r="E242" s="36">
        <v>0.9</v>
      </c>
      <c r="F242" s="11">
        <v>1</v>
      </c>
      <c r="G242" s="11" t="s">
        <v>21</v>
      </c>
      <c r="H242" s="22">
        <v>46033</v>
      </c>
      <c r="I242" s="22">
        <v>46038</v>
      </c>
      <c r="J242" s="12" t="s">
        <v>13</v>
      </c>
      <c r="K242" s="13" t="s">
        <v>349</v>
      </c>
    </row>
    <row r="243" spans="1:11" s="14" customFormat="1" ht="36" x14ac:dyDescent="0.25">
      <c r="A243" s="23">
        <v>233</v>
      </c>
      <c r="B243" s="13" t="s">
        <v>350</v>
      </c>
      <c r="C243" s="25"/>
      <c r="D243" s="11" t="s">
        <v>12</v>
      </c>
      <c r="E243" s="36">
        <v>1</v>
      </c>
      <c r="F243" s="11">
        <v>1.5</v>
      </c>
      <c r="G243" s="11" t="s">
        <v>21</v>
      </c>
      <c r="H243" s="22">
        <v>46042</v>
      </c>
      <c r="I243" s="22">
        <v>46043</v>
      </c>
      <c r="J243" s="12" t="s">
        <v>22</v>
      </c>
      <c r="K243" s="13" t="s">
        <v>351</v>
      </c>
    </row>
    <row r="244" spans="1:11" s="14" customFormat="1" ht="36" x14ac:dyDescent="0.25">
      <c r="A244" s="23">
        <v>234</v>
      </c>
      <c r="B244" s="13" t="s">
        <v>352</v>
      </c>
      <c r="C244" s="25"/>
      <c r="D244" s="11" t="s">
        <v>12</v>
      </c>
      <c r="E244" s="36">
        <v>1</v>
      </c>
      <c r="F244" s="11">
        <v>3</v>
      </c>
      <c r="G244" s="11" t="s">
        <v>25</v>
      </c>
      <c r="H244" s="22">
        <v>46011</v>
      </c>
      <c r="I244" s="22">
        <v>46013</v>
      </c>
      <c r="J244" s="12" t="s">
        <v>22</v>
      </c>
      <c r="K244" s="13" t="s">
        <v>353</v>
      </c>
    </row>
    <row r="245" spans="1:11" s="14" customFormat="1" ht="54" x14ac:dyDescent="0.25">
      <c r="A245" s="23">
        <v>235</v>
      </c>
      <c r="B245" s="13" t="s">
        <v>354</v>
      </c>
      <c r="C245" s="25"/>
      <c r="D245" s="11" t="s">
        <v>12</v>
      </c>
      <c r="E245" s="36">
        <v>1</v>
      </c>
      <c r="F245" s="11">
        <v>1</v>
      </c>
      <c r="G245" s="11" t="s">
        <v>21</v>
      </c>
      <c r="H245" s="22">
        <v>46061</v>
      </c>
      <c r="I245" s="22">
        <v>46070</v>
      </c>
      <c r="J245" s="12" t="s">
        <v>22</v>
      </c>
      <c r="K245" s="13" t="s">
        <v>26</v>
      </c>
    </row>
    <row r="246" spans="1:11" s="14" customFormat="1" ht="18" x14ac:dyDescent="0.25">
      <c r="A246" s="23">
        <v>236</v>
      </c>
      <c r="B246" s="13" t="s">
        <v>355</v>
      </c>
      <c r="C246" s="25"/>
      <c r="D246" s="11" t="s">
        <v>12</v>
      </c>
      <c r="E246" s="36">
        <v>0.6</v>
      </c>
      <c r="F246" s="11"/>
      <c r="G246" s="11"/>
      <c r="H246" s="11"/>
      <c r="I246" s="11"/>
      <c r="J246" s="12" t="s">
        <v>13</v>
      </c>
      <c r="K246" s="13" t="s">
        <v>26</v>
      </c>
    </row>
    <row r="247" spans="1:11" s="14" customFormat="1" ht="36" x14ac:dyDescent="0.25">
      <c r="A247" s="23">
        <v>237</v>
      </c>
      <c r="B247" s="13" t="s">
        <v>356</v>
      </c>
      <c r="C247" s="25"/>
      <c r="D247" s="11" t="s">
        <v>12</v>
      </c>
      <c r="E247" s="36">
        <v>2</v>
      </c>
      <c r="F247" s="11"/>
      <c r="G247" s="11"/>
      <c r="H247" s="11"/>
      <c r="I247" s="11"/>
      <c r="J247" s="12" t="s">
        <v>13</v>
      </c>
      <c r="K247" s="13" t="s">
        <v>26</v>
      </c>
    </row>
    <row r="248" spans="1:11" s="14" customFormat="1" ht="54" x14ac:dyDescent="0.25">
      <c r="A248" s="23">
        <v>238</v>
      </c>
      <c r="B248" s="13" t="s">
        <v>357</v>
      </c>
      <c r="C248" s="25"/>
      <c r="D248" s="11" t="s">
        <v>12</v>
      </c>
      <c r="E248" s="36">
        <v>3</v>
      </c>
      <c r="F248" s="11"/>
      <c r="G248" s="11"/>
      <c r="H248" s="11"/>
      <c r="I248" s="11"/>
      <c r="J248" s="12" t="s">
        <v>13</v>
      </c>
      <c r="K248" s="13" t="s">
        <v>26</v>
      </c>
    </row>
    <row r="249" spans="1:11" s="14" customFormat="1" ht="72" x14ac:dyDescent="0.25">
      <c r="A249" s="23">
        <v>239</v>
      </c>
      <c r="B249" s="13" t="s">
        <v>358</v>
      </c>
      <c r="C249" s="25"/>
      <c r="D249" s="11" t="s">
        <v>12</v>
      </c>
      <c r="E249" s="36">
        <v>1</v>
      </c>
      <c r="F249" s="11"/>
      <c r="G249" s="11"/>
      <c r="H249" s="11"/>
      <c r="I249" s="11"/>
      <c r="J249" s="12" t="s">
        <v>13</v>
      </c>
      <c r="K249" s="13" t="s">
        <v>359</v>
      </c>
    </row>
    <row r="250" spans="1:11" s="14" customFormat="1" ht="72" x14ac:dyDescent="0.25">
      <c r="A250" s="23">
        <v>240</v>
      </c>
      <c r="B250" s="13" t="s">
        <v>360</v>
      </c>
      <c r="C250" s="25"/>
      <c r="D250" s="11" t="s">
        <v>12</v>
      </c>
      <c r="E250" s="36">
        <v>0.8</v>
      </c>
      <c r="F250" s="11">
        <v>0.75</v>
      </c>
      <c r="G250" s="11" t="s">
        <v>21</v>
      </c>
      <c r="H250" s="22">
        <v>45980</v>
      </c>
      <c r="I250" s="22">
        <v>45986</v>
      </c>
      <c r="J250" s="12" t="s">
        <v>22</v>
      </c>
      <c r="K250" s="13" t="s">
        <v>361</v>
      </c>
    </row>
    <row r="251" spans="1:11" s="14" customFormat="1" ht="72" x14ac:dyDescent="0.25">
      <c r="A251" s="23">
        <v>241</v>
      </c>
      <c r="B251" s="13" t="s">
        <v>362</v>
      </c>
      <c r="C251" s="25"/>
      <c r="D251" s="11" t="s">
        <v>12</v>
      </c>
      <c r="E251" s="36">
        <v>0.8</v>
      </c>
      <c r="F251" s="11">
        <v>0.8</v>
      </c>
      <c r="G251" s="11" t="s">
        <v>21</v>
      </c>
      <c r="H251" s="22">
        <v>46002</v>
      </c>
      <c r="I251" s="22">
        <v>46013</v>
      </c>
      <c r="J251" s="12" t="s">
        <v>22</v>
      </c>
      <c r="K251" s="13" t="s">
        <v>363</v>
      </c>
    </row>
    <row r="252" spans="1:11" s="14" customFormat="1" ht="54" x14ac:dyDescent="0.25">
      <c r="A252" s="23">
        <v>242</v>
      </c>
      <c r="B252" s="13" t="s">
        <v>364</v>
      </c>
      <c r="C252" s="25"/>
      <c r="D252" s="11" t="s">
        <v>12</v>
      </c>
      <c r="E252" s="36">
        <v>1</v>
      </c>
      <c r="F252" s="11"/>
      <c r="G252" s="11"/>
      <c r="H252" s="11"/>
      <c r="I252" s="11"/>
      <c r="J252" s="12" t="s">
        <v>13</v>
      </c>
      <c r="K252" s="13" t="s">
        <v>365</v>
      </c>
    </row>
    <row r="253" spans="1:11" s="14" customFormat="1" ht="54" x14ac:dyDescent="0.25">
      <c r="A253" s="23">
        <v>243</v>
      </c>
      <c r="B253" s="13" t="s">
        <v>366</v>
      </c>
      <c r="C253" s="25"/>
      <c r="D253" s="11" t="s">
        <v>12</v>
      </c>
      <c r="E253" s="36">
        <v>1</v>
      </c>
      <c r="F253" s="11">
        <v>1</v>
      </c>
      <c r="G253" s="11" t="s">
        <v>21</v>
      </c>
      <c r="H253" s="22">
        <v>46041</v>
      </c>
      <c r="I253" s="22">
        <v>46050</v>
      </c>
      <c r="J253" s="12" t="s">
        <v>22</v>
      </c>
      <c r="K253" s="13" t="s">
        <v>367</v>
      </c>
    </row>
    <row r="254" spans="1:11" s="14" customFormat="1" ht="36" x14ac:dyDescent="0.25">
      <c r="A254" s="23">
        <v>244</v>
      </c>
      <c r="B254" s="13" t="s">
        <v>368</v>
      </c>
      <c r="C254" s="25"/>
      <c r="D254" s="11" t="s">
        <v>12</v>
      </c>
      <c r="E254" s="36">
        <v>0.8</v>
      </c>
      <c r="F254" s="11">
        <v>0.8</v>
      </c>
      <c r="G254" s="11" t="s">
        <v>21</v>
      </c>
      <c r="H254" s="22">
        <v>46036</v>
      </c>
      <c r="I254" s="22">
        <v>46041</v>
      </c>
      <c r="J254" s="12" t="s">
        <v>22</v>
      </c>
      <c r="K254" s="13" t="s">
        <v>369</v>
      </c>
    </row>
    <row r="255" spans="1:11" s="14" customFormat="1" ht="108" x14ac:dyDescent="0.25">
      <c r="A255" s="23">
        <v>245</v>
      </c>
      <c r="B255" s="13" t="s">
        <v>370</v>
      </c>
      <c r="C255" s="25"/>
      <c r="D255" s="11" t="s">
        <v>12</v>
      </c>
      <c r="E255" s="36">
        <v>0.8</v>
      </c>
      <c r="F255" s="11">
        <v>1</v>
      </c>
      <c r="G255" s="11" t="s">
        <v>21</v>
      </c>
      <c r="H255" s="22">
        <v>46037</v>
      </c>
      <c r="I255" s="22">
        <v>46043</v>
      </c>
      <c r="J255" s="12" t="s">
        <v>22</v>
      </c>
      <c r="K255" s="13" t="s">
        <v>371</v>
      </c>
    </row>
    <row r="256" spans="1:11" s="14" customFormat="1" ht="108" x14ac:dyDescent="0.25">
      <c r="A256" s="23">
        <v>246</v>
      </c>
      <c r="B256" s="13" t="s">
        <v>372</v>
      </c>
      <c r="C256" s="25"/>
      <c r="D256" s="11" t="s">
        <v>12</v>
      </c>
      <c r="E256" s="36">
        <v>1</v>
      </c>
      <c r="F256" s="11">
        <v>2</v>
      </c>
      <c r="G256" s="11" t="s">
        <v>21</v>
      </c>
      <c r="H256" s="22">
        <v>46043</v>
      </c>
      <c r="I256" s="22">
        <v>46043</v>
      </c>
      <c r="J256" s="12" t="s">
        <v>22</v>
      </c>
      <c r="K256" s="13" t="s">
        <v>373</v>
      </c>
    </row>
    <row r="257" spans="1:11" s="14" customFormat="1" ht="72" x14ac:dyDescent="0.25">
      <c r="A257" s="23">
        <v>247</v>
      </c>
      <c r="B257" s="13" t="s">
        <v>374</v>
      </c>
      <c r="C257" s="25"/>
      <c r="D257" s="11" t="s">
        <v>12</v>
      </c>
      <c r="E257" s="36">
        <v>0.8</v>
      </c>
      <c r="F257" s="11">
        <v>1</v>
      </c>
      <c r="G257" s="11" t="s">
        <v>21</v>
      </c>
      <c r="H257" s="22">
        <v>46028</v>
      </c>
      <c r="I257" s="22">
        <v>46030</v>
      </c>
      <c r="J257" s="12" t="s">
        <v>22</v>
      </c>
      <c r="K257" s="13" t="s">
        <v>375</v>
      </c>
    </row>
    <row r="258" spans="1:11" s="14" customFormat="1" ht="72" x14ac:dyDescent="0.25">
      <c r="A258" s="23">
        <v>248</v>
      </c>
      <c r="B258" s="13" t="s">
        <v>376</v>
      </c>
      <c r="C258" s="25"/>
      <c r="D258" s="11" t="s">
        <v>12</v>
      </c>
      <c r="E258" s="36">
        <v>0.8</v>
      </c>
      <c r="F258" s="11">
        <v>1</v>
      </c>
      <c r="G258" s="11" t="s">
        <v>21</v>
      </c>
      <c r="H258" s="22">
        <v>46028</v>
      </c>
      <c r="I258" s="22">
        <v>46030</v>
      </c>
      <c r="J258" s="12" t="s">
        <v>22</v>
      </c>
      <c r="K258" s="13" t="s">
        <v>377</v>
      </c>
    </row>
    <row r="259" spans="1:11" s="14" customFormat="1" ht="54" x14ac:dyDescent="0.25">
      <c r="A259" s="23">
        <v>249</v>
      </c>
      <c r="B259" s="13" t="s">
        <v>378</v>
      </c>
      <c r="C259" s="25"/>
      <c r="D259" s="11" t="s">
        <v>12</v>
      </c>
      <c r="E259" s="36">
        <v>0.8</v>
      </c>
      <c r="F259" s="11"/>
      <c r="G259" s="11"/>
      <c r="H259" s="11"/>
      <c r="I259" s="11"/>
      <c r="J259" s="12" t="s">
        <v>13</v>
      </c>
      <c r="K259" s="13" t="s">
        <v>379</v>
      </c>
    </row>
    <row r="260" spans="1:11" s="14" customFormat="1" ht="72" x14ac:dyDescent="0.25">
      <c r="A260" s="23">
        <v>250</v>
      </c>
      <c r="B260" s="13" t="s">
        <v>380</v>
      </c>
      <c r="C260" s="25"/>
      <c r="D260" s="11" t="s">
        <v>12</v>
      </c>
      <c r="E260" s="36">
        <v>1</v>
      </c>
      <c r="F260" s="11"/>
      <c r="G260" s="11"/>
      <c r="H260" s="11"/>
      <c r="I260" s="11"/>
      <c r="J260" s="12" t="s">
        <v>13</v>
      </c>
      <c r="K260" s="13" t="s">
        <v>381</v>
      </c>
    </row>
    <row r="261" spans="1:11" s="14" customFormat="1" ht="72" x14ac:dyDescent="0.25">
      <c r="A261" s="23">
        <v>251</v>
      </c>
      <c r="B261" s="13" t="s">
        <v>382</v>
      </c>
      <c r="C261" s="25"/>
      <c r="D261" s="11" t="s">
        <v>12</v>
      </c>
      <c r="E261" s="36">
        <v>5</v>
      </c>
      <c r="F261" s="11">
        <v>4</v>
      </c>
      <c r="G261" s="11" t="s">
        <v>25</v>
      </c>
      <c r="H261" s="22">
        <v>46008</v>
      </c>
      <c r="I261" s="22">
        <v>46013</v>
      </c>
      <c r="J261" s="12" t="s">
        <v>22</v>
      </c>
      <c r="K261" s="13" t="s">
        <v>383</v>
      </c>
    </row>
    <row r="262" spans="1:11" s="14" customFormat="1" ht="72" x14ac:dyDescent="0.25">
      <c r="A262" s="23">
        <v>252</v>
      </c>
      <c r="B262" s="13" t="s">
        <v>384</v>
      </c>
      <c r="C262" s="25"/>
      <c r="D262" s="11" t="s">
        <v>12</v>
      </c>
      <c r="E262" s="36">
        <v>2</v>
      </c>
      <c r="F262" s="11">
        <v>2.5</v>
      </c>
      <c r="G262" s="11" t="s">
        <v>25</v>
      </c>
      <c r="H262" s="22">
        <v>45992</v>
      </c>
      <c r="I262" s="22">
        <v>45999</v>
      </c>
      <c r="J262" s="12" t="s">
        <v>22</v>
      </c>
      <c r="K262" s="13" t="s">
        <v>385</v>
      </c>
    </row>
    <row r="263" spans="1:11" s="14" customFormat="1" ht="108" x14ac:dyDescent="0.25">
      <c r="A263" s="23">
        <v>253</v>
      </c>
      <c r="B263" s="13" t="s">
        <v>386</v>
      </c>
      <c r="C263" s="25"/>
      <c r="D263" s="11" t="s">
        <v>12</v>
      </c>
      <c r="E263" s="36">
        <v>0.8</v>
      </c>
      <c r="F263" s="11">
        <v>0.8</v>
      </c>
      <c r="G263" s="11" t="s">
        <v>21</v>
      </c>
      <c r="H263" s="22">
        <v>46036</v>
      </c>
      <c r="I263" s="22">
        <v>46041</v>
      </c>
      <c r="J263" s="12" t="s">
        <v>22</v>
      </c>
      <c r="K263" s="13" t="s">
        <v>387</v>
      </c>
    </row>
    <row r="264" spans="1:11" s="14" customFormat="1" ht="36" x14ac:dyDescent="0.25">
      <c r="A264" s="23">
        <v>254</v>
      </c>
      <c r="B264" s="13" t="s">
        <v>388</v>
      </c>
      <c r="C264" s="25"/>
      <c r="D264" s="11" t="s">
        <v>12</v>
      </c>
      <c r="E264" s="36">
        <v>0.93</v>
      </c>
      <c r="F264" s="11">
        <v>0.8</v>
      </c>
      <c r="G264" s="11" t="s">
        <v>21</v>
      </c>
      <c r="H264" s="22">
        <v>46030</v>
      </c>
      <c r="I264" s="22">
        <v>46030</v>
      </c>
      <c r="J264" s="12" t="s">
        <v>22</v>
      </c>
      <c r="K264" s="13" t="s">
        <v>389</v>
      </c>
    </row>
    <row r="265" spans="1:11" s="14" customFormat="1" ht="36" x14ac:dyDescent="0.25">
      <c r="A265" s="23">
        <v>255</v>
      </c>
      <c r="B265" s="13" t="s">
        <v>390</v>
      </c>
      <c r="C265" s="25"/>
      <c r="D265" s="11" t="s">
        <v>12</v>
      </c>
      <c r="E265" s="36">
        <v>0.93</v>
      </c>
      <c r="F265" s="11">
        <v>2.5</v>
      </c>
      <c r="G265" s="11" t="s">
        <v>25</v>
      </c>
      <c r="H265" s="22">
        <v>45994</v>
      </c>
      <c r="I265" s="22">
        <v>45999</v>
      </c>
      <c r="J265" s="12" t="s">
        <v>22</v>
      </c>
      <c r="K265" s="13" t="s">
        <v>391</v>
      </c>
    </row>
    <row r="266" spans="1:11" s="14" customFormat="1" ht="36" x14ac:dyDescent="0.25">
      <c r="A266" s="23">
        <v>256</v>
      </c>
      <c r="B266" s="13" t="s">
        <v>392</v>
      </c>
      <c r="C266" s="25"/>
      <c r="D266" s="11" t="s">
        <v>12</v>
      </c>
      <c r="E266" s="36">
        <v>0.8</v>
      </c>
      <c r="F266" s="11">
        <v>1</v>
      </c>
      <c r="G266" s="11" t="s">
        <v>21</v>
      </c>
      <c r="H266" s="22">
        <v>46041</v>
      </c>
      <c r="I266" s="22">
        <v>46041</v>
      </c>
      <c r="J266" s="12" t="s">
        <v>22</v>
      </c>
      <c r="K266" s="13" t="s">
        <v>393</v>
      </c>
    </row>
    <row r="267" spans="1:11" s="14" customFormat="1" ht="108" x14ac:dyDescent="0.25">
      <c r="A267" s="23">
        <v>257</v>
      </c>
      <c r="B267" s="13" t="s">
        <v>394</v>
      </c>
      <c r="C267" s="25"/>
      <c r="D267" s="11" t="s">
        <v>12</v>
      </c>
      <c r="E267" s="36">
        <v>0.8</v>
      </c>
      <c r="F267" s="11"/>
      <c r="G267" s="11"/>
      <c r="H267" s="11"/>
      <c r="I267" s="11"/>
      <c r="J267" s="12" t="s">
        <v>13</v>
      </c>
      <c r="K267" s="13" t="s">
        <v>395</v>
      </c>
    </row>
    <row r="268" spans="1:11" s="14" customFormat="1" ht="90" x14ac:dyDescent="0.25">
      <c r="A268" s="23">
        <v>258</v>
      </c>
      <c r="B268" s="13" t="s">
        <v>396</v>
      </c>
      <c r="C268" s="25"/>
      <c r="D268" s="11" t="s">
        <v>12</v>
      </c>
      <c r="E268" s="36">
        <v>0.8</v>
      </c>
      <c r="F268" s="11"/>
      <c r="G268" s="11"/>
      <c r="H268" s="11"/>
      <c r="I268" s="11"/>
      <c r="J268" s="12" t="s">
        <v>13</v>
      </c>
      <c r="K268" s="13" t="s">
        <v>397</v>
      </c>
    </row>
    <row r="269" spans="1:11" s="14" customFormat="1" ht="90" x14ac:dyDescent="0.25">
      <c r="A269" s="23">
        <v>259</v>
      </c>
      <c r="B269" s="13" t="s">
        <v>398</v>
      </c>
      <c r="C269" s="25"/>
      <c r="D269" s="11" t="s">
        <v>12</v>
      </c>
      <c r="E269" s="36">
        <v>0.8</v>
      </c>
      <c r="F269" s="11">
        <v>0.8</v>
      </c>
      <c r="G269" s="11" t="s">
        <v>21</v>
      </c>
      <c r="H269" s="22">
        <v>46036</v>
      </c>
      <c r="I269" s="22">
        <v>46041</v>
      </c>
      <c r="J269" s="12" t="s">
        <v>22</v>
      </c>
      <c r="K269" s="13" t="s">
        <v>399</v>
      </c>
    </row>
    <row r="270" spans="1:11" s="14" customFormat="1" ht="108" x14ac:dyDescent="0.25">
      <c r="A270" s="23">
        <v>260</v>
      </c>
      <c r="B270" s="13" t="s">
        <v>400</v>
      </c>
      <c r="C270" s="25"/>
      <c r="D270" s="11" t="s">
        <v>12</v>
      </c>
      <c r="E270" s="36">
        <v>0.8</v>
      </c>
      <c r="F270" s="11">
        <v>0.8</v>
      </c>
      <c r="G270" s="11" t="s">
        <v>21</v>
      </c>
      <c r="H270" s="22">
        <v>46048</v>
      </c>
      <c r="I270" s="22">
        <v>46043</v>
      </c>
      <c r="J270" s="12" t="s">
        <v>22</v>
      </c>
      <c r="K270" s="13" t="s">
        <v>401</v>
      </c>
    </row>
    <row r="271" spans="1:11" s="14" customFormat="1" ht="108" x14ac:dyDescent="0.25">
      <c r="A271" s="23">
        <v>261</v>
      </c>
      <c r="B271" s="13" t="s">
        <v>402</v>
      </c>
      <c r="C271" s="25"/>
      <c r="D271" s="11" t="s">
        <v>12</v>
      </c>
      <c r="E271" s="36">
        <v>0.8</v>
      </c>
      <c r="F271" s="11">
        <v>1</v>
      </c>
      <c r="G271" s="11" t="s">
        <v>21</v>
      </c>
      <c r="H271" s="22">
        <v>46037</v>
      </c>
      <c r="I271" s="22">
        <v>46043</v>
      </c>
      <c r="J271" s="12" t="s">
        <v>22</v>
      </c>
      <c r="K271" s="13" t="s">
        <v>403</v>
      </c>
    </row>
    <row r="272" spans="1:11" s="14" customFormat="1" ht="108" x14ac:dyDescent="0.25">
      <c r="A272" s="23">
        <v>262</v>
      </c>
      <c r="B272" s="13" t="s">
        <v>404</v>
      </c>
      <c r="C272" s="25"/>
      <c r="D272" s="11" t="s">
        <v>12</v>
      </c>
      <c r="E272" s="36">
        <v>0.8</v>
      </c>
      <c r="F272" s="11">
        <v>2</v>
      </c>
      <c r="G272" s="11" t="s">
        <v>21</v>
      </c>
      <c r="H272" s="22">
        <v>46028</v>
      </c>
      <c r="I272" s="22">
        <v>46029</v>
      </c>
      <c r="J272" s="12" t="s">
        <v>22</v>
      </c>
      <c r="K272" s="13" t="s">
        <v>405</v>
      </c>
    </row>
    <row r="273" spans="1:11" s="14" customFormat="1" ht="108" x14ac:dyDescent="0.25">
      <c r="A273" s="23">
        <v>263</v>
      </c>
      <c r="B273" s="13" t="s">
        <v>406</v>
      </c>
      <c r="C273" s="25"/>
      <c r="D273" s="11" t="s">
        <v>12</v>
      </c>
      <c r="E273" s="36">
        <v>0.8</v>
      </c>
      <c r="F273" s="11">
        <v>2</v>
      </c>
      <c r="G273" s="11" t="s">
        <v>25</v>
      </c>
      <c r="H273" s="22">
        <v>46027</v>
      </c>
      <c r="I273" s="22">
        <v>46043</v>
      </c>
      <c r="J273" s="12" t="s">
        <v>22</v>
      </c>
      <c r="K273" s="13" t="s">
        <v>407</v>
      </c>
    </row>
    <row r="274" spans="1:11" s="14" customFormat="1" ht="90" x14ac:dyDescent="0.25">
      <c r="A274" s="23">
        <v>264</v>
      </c>
      <c r="B274" s="13" t="s">
        <v>408</v>
      </c>
      <c r="C274" s="25"/>
      <c r="D274" s="11" t="s">
        <v>12</v>
      </c>
      <c r="E274" s="36">
        <v>0.8</v>
      </c>
      <c r="F274" s="11"/>
      <c r="G274" s="11"/>
      <c r="H274" s="11"/>
      <c r="I274" s="11"/>
      <c r="J274" s="12" t="s">
        <v>13</v>
      </c>
      <c r="K274" s="13" t="s">
        <v>409</v>
      </c>
    </row>
    <row r="275" spans="1:11" s="14" customFormat="1" ht="54" x14ac:dyDescent="0.25">
      <c r="A275" s="23">
        <v>265</v>
      </c>
      <c r="B275" s="13" t="s">
        <v>410</v>
      </c>
      <c r="C275" s="25"/>
      <c r="D275" s="11" t="s">
        <v>12</v>
      </c>
      <c r="E275" s="36">
        <v>1.8</v>
      </c>
      <c r="F275" s="11">
        <v>2.5</v>
      </c>
      <c r="G275" s="11" t="s">
        <v>25</v>
      </c>
      <c r="H275" s="22">
        <v>45993</v>
      </c>
      <c r="I275" s="22">
        <v>45999</v>
      </c>
      <c r="J275" s="12" t="s">
        <v>22</v>
      </c>
      <c r="K275" s="13" t="s">
        <v>411</v>
      </c>
    </row>
    <row r="276" spans="1:11" s="14" customFormat="1" ht="90" x14ac:dyDescent="0.25">
      <c r="A276" s="23">
        <v>266</v>
      </c>
      <c r="B276" s="13" t="s">
        <v>412</v>
      </c>
      <c r="C276" s="25"/>
      <c r="D276" s="11" t="s">
        <v>12</v>
      </c>
      <c r="E276" s="36">
        <v>5</v>
      </c>
      <c r="F276" s="11"/>
      <c r="G276" s="11"/>
      <c r="H276" s="11"/>
      <c r="I276" s="11"/>
      <c r="J276" s="12" t="s">
        <v>13</v>
      </c>
      <c r="K276" s="13" t="s">
        <v>26</v>
      </c>
    </row>
    <row r="277" spans="1:11" s="14" customFormat="1" ht="36" x14ac:dyDescent="0.25">
      <c r="A277" s="23">
        <v>267</v>
      </c>
      <c r="B277" s="13" t="s">
        <v>413</v>
      </c>
      <c r="C277" s="25"/>
      <c r="D277" s="11" t="s">
        <v>12</v>
      </c>
      <c r="E277" s="36">
        <v>0.8</v>
      </c>
      <c r="F277" s="11">
        <v>1</v>
      </c>
      <c r="G277" s="11" t="s">
        <v>21</v>
      </c>
      <c r="H277" s="22">
        <v>46077</v>
      </c>
      <c r="I277" s="22">
        <v>46078</v>
      </c>
      <c r="J277" s="12" t="s">
        <v>22</v>
      </c>
      <c r="K277" s="13" t="s">
        <v>414</v>
      </c>
    </row>
    <row r="278" spans="1:11" s="14" customFormat="1" ht="97.7" customHeight="1" x14ac:dyDescent="0.25">
      <c r="A278" s="23">
        <v>268</v>
      </c>
      <c r="B278" s="13" t="s">
        <v>415</v>
      </c>
      <c r="C278" s="25"/>
      <c r="D278" s="11" t="s">
        <v>12</v>
      </c>
      <c r="E278" s="36">
        <v>0.8</v>
      </c>
      <c r="F278" s="11"/>
      <c r="G278" s="11"/>
      <c r="H278" s="11"/>
      <c r="I278" s="11"/>
      <c r="J278" s="12" t="s">
        <v>13</v>
      </c>
      <c r="K278" s="13" t="s">
        <v>416</v>
      </c>
    </row>
    <row r="279" spans="1:11" s="14" customFormat="1" ht="72" x14ac:dyDescent="0.25">
      <c r="A279" s="23">
        <v>269</v>
      </c>
      <c r="B279" s="13" t="s">
        <v>417</v>
      </c>
      <c r="C279" s="25"/>
      <c r="D279" s="11" t="s">
        <v>12</v>
      </c>
      <c r="E279" s="36">
        <v>0.8</v>
      </c>
      <c r="F279" s="11">
        <v>1</v>
      </c>
      <c r="G279" s="11" t="s">
        <v>21</v>
      </c>
      <c r="H279" s="22">
        <v>46020</v>
      </c>
      <c r="I279" s="22">
        <v>46020</v>
      </c>
      <c r="J279" s="12" t="s">
        <v>22</v>
      </c>
      <c r="K279" s="13" t="s">
        <v>418</v>
      </c>
    </row>
    <row r="280" spans="1:11" s="14" customFormat="1" ht="108" x14ac:dyDescent="0.25">
      <c r="A280" s="23">
        <v>270</v>
      </c>
      <c r="B280" s="13" t="s">
        <v>419</v>
      </c>
      <c r="C280" s="25"/>
      <c r="D280" s="11" t="s">
        <v>12</v>
      </c>
      <c r="E280" s="36">
        <v>0.8</v>
      </c>
      <c r="F280" s="11"/>
      <c r="G280" s="11"/>
      <c r="H280" s="11"/>
      <c r="I280" s="11"/>
      <c r="J280" s="12" t="s">
        <v>13</v>
      </c>
      <c r="K280" s="13" t="s">
        <v>420</v>
      </c>
    </row>
    <row r="281" spans="1:11" s="14" customFormat="1" ht="36" x14ac:dyDescent="0.25">
      <c r="A281" s="23">
        <v>271</v>
      </c>
      <c r="B281" s="13" t="s">
        <v>421</v>
      </c>
      <c r="C281" s="25"/>
      <c r="D281" s="11" t="s">
        <v>12</v>
      </c>
      <c r="E281" s="36">
        <v>0.8</v>
      </c>
      <c r="F281" s="11">
        <v>2</v>
      </c>
      <c r="G281" s="11" t="s">
        <v>25</v>
      </c>
      <c r="H281" s="22">
        <v>45971</v>
      </c>
      <c r="I281" s="22">
        <v>46006</v>
      </c>
      <c r="J281" s="12" t="s">
        <v>22</v>
      </c>
      <c r="K281" s="13" t="s">
        <v>422</v>
      </c>
    </row>
    <row r="282" spans="1:11" s="14" customFormat="1" ht="54" x14ac:dyDescent="0.25">
      <c r="A282" s="23">
        <v>272</v>
      </c>
      <c r="B282" s="13" t="s">
        <v>423</v>
      </c>
      <c r="C282" s="25"/>
      <c r="D282" s="11" t="s">
        <v>12</v>
      </c>
      <c r="E282" s="36">
        <v>0.93</v>
      </c>
      <c r="F282" s="11">
        <v>1.5</v>
      </c>
      <c r="G282" s="11" t="s">
        <v>25</v>
      </c>
      <c r="H282" s="22">
        <v>45993</v>
      </c>
      <c r="I282" s="22">
        <v>45999</v>
      </c>
      <c r="J282" s="12" t="s">
        <v>22</v>
      </c>
      <c r="K282" s="13" t="s">
        <v>424</v>
      </c>
    </row>
    <row r="283" spans="1:11" s="14" customFormat="1" ht="90" x14ac:dyDescent="0.25">
      <c r="A283" s="23">
        <v>273</v>
      </c>
      <c r="B283" s="13" t="s">
        <v>425</v>
      </c>
      <c r="C283" s="25"/>
      <c r="D283" s="11" t="s">
        <v>12</v>
      </c>
      <c r="E283" s="36">
        <v>0.8</v>
      </c>
      <c r="F283" s="11">
        <v>2</v>
      </c>
      <c r="G283" s="11" t="s">
        <v>25</v>
      </c>
      <c r="H283" s="22">
        <v>46011</v>
      </c>
      <c r="I283" s="22">
        <v>46013</v>
      </c>
      <c r="J283" s="12" t="s">
        <v>22</v>
      </c>
      <c r="K283" s="13" t="s">
        <v>426</v>
      </c>
    </row>
    <row r="284" spans="1:11" s="14" customFormat="1" ht="36" x14ac:dyDescent="0.25">
      <c r="A284" s="23">
        <v>274</v>
      </c>
      <c r="B284" s="13" t="s">
        <v>427</v>
      </c>
      <c r="C284" s="25"/>
      <c r="D284" s="11" t="s">
        <v>12</v>
      </c>
      <c r="E284" s="36">
        <v>0.93</v>
      </c>
      <c r="F284" s="11">
        <v>1.5</v>
      </c>
      <c r="G284" s="11" t="s">
        <v>25</v>
      </c>
      <c r="H284" s="22">
        <v>45992</v>
      </c>
      <c r="I284" s="22">
        <v>45999</v>
      </c>
      <c r="J284" s="12" t="s">
        <v>22</v>
      </c>
      <c r="K284" s="13" t="s">
        <v>428</v>
      </c>
    </row>
    <row r="285" spans="1:11" s="14" customFormat="1" ht="90" x14ac:dyDescent="0.25">
      <c r="A285" s="23">
        <v>275</v>
      </c>
      <c r="B285" s="13" t="s">
        <v>429</v>
      </c>
      <c r="C285" s="25"/>
      <c r="D285" s="11" t="s">
        <v>12</v>
      </c>
      <c r="E285" s="36">
        <v>0.93</v>
      </c>
      <c r="F285" s="11">
        <v>3</v>
      </c>
      <c r="G285" s="11" t="s">
        <v>25</v>
      </c>
      <c r="H285" s="22">
        <v>45994</v>
      </c>
      <c r="I285" s="22">
        <v>45999</v>
      </c>
      <c r="J285" s="12" t="s">
        <v>22</v>
      </c>
      <c r="K285" s="13" t="s">
        <v>430</v>
      </c>
    </row>
    <row r="286" spans="1:11" s="14" customFormat="1" ht="108" x14ac:dyDescent="0.25">
      <c r="A286" s="23">
        <v>276</v>
      </c>
      <c r="B286" s="13" t="s">
        <v>431</v>
      </c>
      <c r="C286" s="25"/>
      <c r="D286" s="11" t="s">
        <v>12</v>
      </c>
      <c r="E286" s="36">
        <v>1.05</v>
      </c>
      <c r="F286" s="11">
        <v>2.5</v>
      </c>
      <c r="G286" s="11" t="s">
        <v>25</v>
      </c>
      <c r="H286" s="22">
        <v>45992</v>
      </c>
      <c r="I286" s="22">
        <v>45999</v>
      </c>
      <c r="J286" s="12" t="s">
        <v>22</v>
      </c>
      <c r="K286" s="13" t="s">
        <v>432</v>
      </c>
    </row>
    <row r="287" spans="1:11" s="14" customFormat="1" ht="54" x14ac:dyDescent="0.25">
      <c r="A287" s="23">
        <v>277</v>
      </c>
      <c r="B287" s="13" t="s">
        <v>433</v>
      </c>
      <c r="C287" s="25"/>
      <c r="D287" s="11" t="s">
        <v>12</v>
      </c>
      <c r="E287" s="36">
        <v>0.8</v>
      </c>
      <c r="F287" s="11"/>
      <c r="G287" s="11"/>
      <c r="H287" s="11"/>
      <c r="I287" s="11"/>
      <c r="J287" s="12" t="s">
        <v>13</v>
      </c>
      <c r="K287" s="13" t="s">
        <v>434</v>
      </c>
    </row>
    <row r="288" spans="1:11" s="14" customFormat="1" ht="54" x14ac:dyDescent="0.25">
      <c r="A288" s="23">
        <v>278</v>
      </c>
      <c r="B288" s="13" t="s">
        <v>435</v>
      </c>
      <c r="C288" s="25"/>
      <c r="D288" s="11" t="s">
        <v>12</v>
      </c>
      <c r="E288" s="36">
        <v>0.8</v>
      </c>
      <c r="F288" s="11">
        <v>2</v>
      </c>
      <c r="G288" s="11" t="s">
        <v>436</v>
      </c>
      <c r="H288" s="22">
        <v>46056</v>
      </c>
      <c r="I288" s="22">
        <v>46071</v>
      </c>
      <c r="J288" s="12" t="s">
        <v>22</v>
      </c>
      <c r="K288" s="13" t="s">
        <v>437</v>
      </c>
    </row>
    <row r="289" spans="1:11" s="14" customFormat="1" ht="54" x14ac:dyDescent="0.25">
      <c r="A289" s="23">
        <v>279</v>
      </c>
      <c r="B289" s="13" t="s">
        <v>438</v>
      </c>
      <c r="C289" s="25"/>
      <c r="D289" s="11" t="s">
        <v>12</v>
      </c>
      <c r="E289" s="36">
        <v>0.8</v>
      </c>
      <c r="F289" s="11">
        <v>1</v>
      </c>
      <c r="G289" s="11" t="s">
        <v>436</v>
      </c>
      <c r="H289" s="22">
        <v>46058</v>
      </c>
      <c r="I289" s="22">
        <v>46071</v>
      </c>
      <c r="J289" s="12" t="s">
        <v>22</v>
      </c>
      <c r="K289" s="13" t="s">
        <v>439</v>
      </c>
    </row>
    <row r="290" spans="1:11" s="14" customFormat="1" ht="54" x14ac:dyDescent="0.25">
      <c r="A290" s="23">
        <v>280</v>
      </c>
      <c r="B290" s="13" t="s">
        <v>440</v>
      </c>
      <c r="C290" s="25"/>
      <c r="D290" s="11" t="s">
        <v>12</v>
      </c>
      <c r="E290" s="36">
        <v>0.8</v>
      </c>
      <c r="F290" s="11"/>
      <c r="G290" s="11"/>
      <c r="H290" s="11"/>
      <c r="I290" s="11"/>
      <c r="J290" s="12" t="s">
        <v>13</v>
      </c>
      <c r="K290" s="13" t="s">
        <v>26</v>
      </c>
    </row>
    <row r="291" spans="1:11" s="14" customFormat="1" ht="90" x14ac:dyDescent="0.25">
      <c r="A291" s="23">
        <v>281</v>
      </c>
      <c r="B291" s="13" t="s">
        <v>441</v>
      </c>
      <c r="C291" s="25"/>
      <c r="D291" s="11" t="s">
        <v>12</v>
      </c>
      <c r="E291" s="36">
        <v>0.8</v>
      </c>
      <c r="F291" s="11"/>
      <c r="G291" s="11"/>
      <c r="H291" s="11"/>
      <c r="I291" s="11"/>
      <c r="J291" s="12" t="s">
        <v>13</v>
      </c>
      <c r="K291" s="13" t="s">
        <v>442</v>
      </c>
    </row>
    <row r="292" spans="1:11" s="14" customFormat="1" ht="72" x14ac:dyDescent="0.25">
      <c r="A292" s="23">
        <v>282</v>
      </c>
      <c r="B292" s="13" t="s">
        <v>443</v>
      </c>
      <c r="C292" s="25"/>
      <c r="D292" s="11" t="s">
        <v>12</v>
      </c>
      <c r="E292" s="36">
        <v>0.8</v>
      </c>
      <c r="F292" s="11">
        <v>0.8</v>
      </c>
      <c r="G292" s="11" t="s">
        <v>21</v>
      </c>
      <c r="H292" s="22">
        <v>45988</v>
      </c>
      <c r="I292" s="22">
        <v>45988</v>
      </c>
      <c r="J292" s="12" t="s">
        <v>22</v>
      </c>
      <c r="K292" s="13" t="s">
        <v>444</v>
      </c>
    </row>
    <row r="293" spans="1:11" s="14" customFormat="1" ht="72" x14ac:dyDescent="0.25">
      <c r="A293" s="23">
        <v>283</v>
      </c>
      <c r="B293" s="13" t="s">
        <v>445</v>
      </c>
      <c r="C293" s="25"/>
      <c r="D293" s="11" t="s">
        <v>12</v>
      </c>
      <c r="E293" s="36">
        <v>0.8</v>
      </c>
      <c r="F293" s="11"/>
      <c r="G293" s="11"/>
      <c r="H293" s="11"/>
      <c r="I293" s="11"/>
      <c r="J293" s="12" t="s">
        <v>13</v>
      </c>
      <c r="K293" s="13" t="s">
        <v>446</v>
      </c>
    </row>
    <row r="294" spans="1:11" s="14" customFormat="1" ht="54" x14ac:dyDescent="0.25">
      <c r="A294" s="23">
        <v>284</v>
      </c>
      <c r="B294" s="13" t="s">
        <v>447</v>
      </c>
      <c r="C294" s="25"/>
      <c r="D294" s="11" t="s">
        <v>12</v>
      </c>
      <c r="E294" s="36">
        <v>0.8</v>
      </c>
      <c r="F294" s="11">
        <v>0.8</v>
      </c>
      <c r="G294" s="11" t="s">
        <v>21</v>
      </c>
      <c r="H294" s="22">
        <v>46036</v>
      </c>
      <c r="I294" s="22">
        <v>46041</v>
      </c>
      <c r="J294" s="12" t="s">
        <v>22</v>
      </c>
      <c r="K294" s="13" t="s">
        <v>448</v>
      </c>
    </row>
    <row r="295" spans="1:11" s="14" customFormat="1" ht="54" x14ac:dyDescent="0.25">
      <c r="A295" s="23">
        <v>285</v>
      </c>
      <c r="B295" s="13" t="s">
        <v>449</v>
      </c>
      <c r="C295" s="25"/>
      <c r="D295" s="11" t="s">
        <v>12</v>
      </c>
      <c r="E295" s="36">
        <v>0.8</v>
      </c>
      <c r="F295" s="11">
        <v>0.8</v>
      </c>
      <c r="G295" s="11" t="s">
        <v>21</v>
      </c>
      <c r="H295" s="22">
        <v>46028</v>
      </c>
      <c r="I295" s="11"/>
      <c r="J295" s="12" t="s">
        <v>13</v>
      </c>
      <c r="K295" s="13" t="s">
        <v>26</v>
      </c>
    </row>
    <row r="296" spans="1:11" s="14" customFormat="1" ht="54" x14ac:dyDescent="0.25">
      <c r="A296" s="23">
        <v>286</v>
      </c>
      <c r="B296" s="13" t="s">
        <v>450</v>
      </c>
      <c r="C296" s="25"/>
      <c r="D296" s="11" t="s">
        <v>12</v>
      </c>
      <c r="E296" s="36">
        <v>0.8</v>
      </c>
      <c r="F296" s="11">
        <v>1</v>
      </c>
      <c r="G296" s="11" t="s">
        <v>21</v>
      </c>
      <c r="H296" s="22">
        <v>46076</v>
      </c>
      <c r="I296" s="22">
        <v>46078</v>
      </c>
      <c r="J296" s="12" t="s">
        <v>22</v>
      </c>
      <c r="K296" s="13" t="s">
        <v>451</v>
      </c>
    </row>
    <row r="297" spans="1:11" s="14" customFormat="1" ht="54" x14ac:dyDescent="0.25">
      <c r="A297" s="23">
        <v>287</v>
      </c>
      <c r="B297" s="13" t="s">
        <v>452</v>
      </c>
      <c r="C297" s="25"/>
      <c r="D297" s="11" t="s">
        <v>12</v>
      </c>
      <c r="E297" s="36">
        <v>0.8</v>
      </c>
      <c r="F297" s="11"/>
      <c r="G297" s="11"/>
      <c r="H297" s="11"/>
      <c r="I297" s="11"/>
      <c r="J297" s="12" t="s">
        <v>13</v>
      </c>
      <c r="K297" s="13" t="s">
        <v>453</v>
      </c>
    </row>
    <row r="298" spans="1:11" s="14" customFormat="1" ht="72" x14ac:dyDescent="0.25">
      <c r="A298" s="23">
        <v>288</v>
      </c>
      <c r="B298" s="13" t="s">
        <v>454</v>
      </c>
      <c r="C298" s="25"/>
      <c r="D298" s="11" t="s">
        <v>12</v>
      </c>
      <c r="E298" s="36">
        <v>0.8</v>
      </c>
      <c r="F298" s="11">
        <v>0.8</v>
      </c>
      <c r="G298" s="11" t="s">
        <v>21</v>
      </c>
      <c r="H298" s="22">
        <v>45980</v>
      </c>
      <c r="I298" s="22">
        <v>45986</v>
      </c>
      <c r="J298" s="12" t="s">
        <v>22</v>
      </c>
      <c r="K298" s="13" t="s">
        <v>455</v>
      </c>
    </row>
    <row r="299" spans="1:11" s="14" customFormat="1" ht="90" x14ac:dyDescent="0.25">
      <c r="A299" s="23">
        <v>289</v>
      </c>
      <c r="B299" s="13" t="s">
        <v>456</v>
      </c>
      <c r="C299" s="25"/>
      <c r="D299" s="11" t="s">
        <v>12</v>
      </c>
      <c r="E299" s="36">
        <v>0.8</v>
      </c>
      <c r="F299" s="11">
        <v>0.8</v>
      </c>
      <c r="G299" s="11" t="s">
        <v>21</v>
      </c>
      <c r="H299" s="22">
        <v>45980</v>
      </c>
      <c r="I299" s="22">
        <v>45986</v>
      </c>
      <c r="J299" s="12" t="s">
        <v>22</v>
      </c>
      <c r="K299" s="13" t="s">
        <v>457</v>
      </c>
    </row>
    <row r="300" spans="1:11" s="14" customFormat="1" ht="108" x14ac:dyDescent="0.25">
      <c r="A300" s="23">
        <v>290</v>
      </c>
      <c r="B300" s="13" t="s">
        <v>458</v>
      </c>
      <c r="C300" s="25"/>
      <c r="D300" s="11" t="s">
        <v>12</v>
      </c>
      <c r="E300" s="36">
        <v>0.8</v>
      </c>
      <c r="F300" s="11"/>
      <c r="G300" s="11"/>
      <c r="H300" s="11"/>
      <c r="I300" s="11"/>
      <c r="J300" s="12" t="s">
        <v>13</v>
      </c>
      <c r="K300" s="13" t="s">
        <v>459</v>
      </c>
    </row>
    <row r="301" spans="1:11" s="14" customFormat="1" ht="90" x14ac:dyDescent="0.25">
      <c r="A301" s="23">
        <v>291</v>
      </c>
      <c r="B301" s="13" t="s">
        <v>460</v>
      </c>
      <c r="C301" s="25"/>
      <c r="D301" s="11" t="s">
        <v>12</v>
      </c>
      <c r="E301" s="36">
        <v>0.8</v>
      </c>
      <c r="F301" s="11">
        <v>0.8</v>
      </c>
      <c r="G301" s="11" t="s">
        <v>21</v>
      </c>
      <c r="H301" s="22">
        <v>46036</v>
      </c>
      <c r="I301" s="22">
        <v>46041</v>
      </c>
      <c r="J301" s="12" t="s">
        <v>22</v>
      </c>
      <c r="K301" s="13" t="s">
        <v>461</v>
      </c>
    </row>
    <row r="302" spans="1:11" s="14" customFormat="1" ht="90" x14ac:dyDescent="0.25">
      <c r="A302" s="23">
        <v>292</v>
      </c>
      <c r="B302" s="13" t="s">
        <v>462</v>
      </c>
      <c r="C302" s="25"/>
      <c r="D302" s="11" t="s">
        <v>12</v>
      </c>
      <c r="E302" s="36">
        <v>0.8</v>
      </c>
      <c r="F302" s="11">
        <v>1</v>
      </c>
      <c r="G302" s="11" t="s">
        <v>21</v>
      </c>
      <c r="H302" s="22">
        <v>46048</v>
      </c>
      <c r="I302" s="22">
        <v>46052</v>
      </c>
      <c r="J302" s="12" t="s">
        <v>22</v>
      </c>
      <c r="K302" s="13" t="s">
        <v>463</v>
      </c>
    </row>
    <row r="303" spans="1:11" s="14" customFormat="1" ht="90" x14ac:dyDescent="0.25">
      <c r="A303" s="23">
        <v>293</v>
      </c>
      <c r="B303" s="13" t="s">
        <v>464</v>
      </c>
      <c r="C303" s="25"/>
      <c r="D303" s="11" t="s">
        <v>12</v>
      </c>
      <c r="E303" s="36">
        <v>0.8</v>
      </c>
      <c r="F303" s="11">
        <v>1</v>
      </c>
      <c r="G303" s="11" t="s">
        <v>21</v>
      </c>
      <c r="H303" s="22">
        <v>46050</v>
      </c>
      <c r="I303" s="22">
        <v>46052</v>
      </c>
      <c r="J303" s="12" t="s">
        <v>22</v>
      </c>
      <c r="K303" s="13" t="s">
        <v>465</v>
      </c>
    </row>
    <row r="304" spans="1:11" s="14" customFormat="1" ht="72" x14ac:dyDescent="0.25">
      <c r="A304" s="23">
        <v>294</v>
      </c>
      <c r="B304" s="13" t="s">
        <v>466</v>
      </c>
      <c r="C304" s="25"/>
      <c r="D304" s="11" t="s">
        <v>12</v>
      </c>
      <c r="E304" s="36">
        <v>0.8</v>
      </c>
      <c r="F304" s="11">
        <v>1</v>
      </c>
      <c r="G304" s="11" t="s">
        <v>21</v>
      </c>
      <c r="H304" s="22">
        <v>46058</v>
      </c>
      <c r="I304" s="22">
        <v>46070</v>
      </c>
      <c r="J304" s="12" t="s">
        <v>22</v>
      </c>
      <c r="K304" s="13" t="s">
        <v>467</v>
      </c>
    </row>
    <row r="305" spans="1:11" s="14" customFormat="1" ht="54" x14ac:dyDescent="0.25">
      <c r="A305" s="23">
        <v>295</v>
      </c>
      <c r="B305" s="13" t="s">
        <v>468</v>
      </c>
      <c r="C305" s="25"/>
      <c r="D305" s="11" t="s">
        <v>12</v>
      </c>
      <c r="E305" s="36">
        <v>1</v>
      </c>
      <c r="F305" s="11">
        <v>2</v>
      </c>
      <c r="G305" s="11" t="s">
        <v>21</v>
      </c>
      <c r="H305" s="22">
        <v>46020</v>
      </c>
      <c r="I305" s="22">
        <v>46020</v>
      </c>
      <c r="J305" s="12" t="s">
        <v>22</v>
      </c>
      <c r="K305" s="13" t="s">
        <v>469</v>
      </c>
    </row>
    <row r="306" spans="1:11" s="14" customFormat="1" ht="54" x14ac:dyDescent="0.25">
      <c r="A306" s="23">
        <v>296</v>
      </c>
      <c r="B306" s="13" t="s">
        <v>470</v>
      </c>
      <c r="C306" s="25"/>
      <c r="D306" s="11" t="s">
        <v>12</v>
      </c>
      <c r="E306" s="36">
        <v>1</v>
      </c>
      <c r="F306" s="11"/>
      <c r="G306" s="11"/>
      <c r="H306" s="11"/>
      <c r="I306" s="11"/>
      <c r="J306" s="12" t="s">
        <v>13</v>
      </c>
      <c r="K306" s="13" t="s">
        <v>471</v>
      </c>
    </row>
    <row r="307" spans="1:11" s="14" customFormat="1" ht="72" x14ac:dyDescent="0.25">
      <c r="A307" s="23">
        <v>297</v>
      </c>
      <c r="B307" s="13" t="s">
        <v>472</v>
      </c>
      <c r="C307" s="25"/>
      <c r="D307" s="11" t="s">
        <v>12</v>
      </c>
      <c r="E307" s="36">
        <v>1</v>
      </c>
      <c r="F307" s="11"/>
      <c r="G307" s="11"/>
      <c r="H307" s="11"/>
      <c r="I307" s="11"/>
      <c r="J307" s="12" t="s">
        <v>13</v>
      </c>
      <c r="K307" s="13" t="s">
        <v>473</v>
      </c>
    </row>
    <row r="308" spans="1:11" s="14" customFormat="1" ht="72" x14ac:dyDescent="0.25">
      <c r="A308" s="23">
        <v>298</v>
      </c>
      <c r="B308" s="13" t="s">
        <v>474</v>
      </c>
      <c r="C308" s="25"/>
      <c r="D308" s="11" t="s">
        <v>12</v>
      </c>
      <c r="E308" s="36">
        <v>1</v>
      </c>
      <c r="F308" s="11">
        <v>1</v>
      </c>
      <c r="G308" s="11" t="s">
        <v>21</v>
      </c>
      <c r="H308" s="22">
        <v>46076</v>
      </c>
      <c r="I308" s="22">
        <v>46078</v>
      </c>
      <c r="J308" s="12" t="s">
        <v>22</v>
      </c>
      <c r="K308" s="13" t="s">
        <v>475</v>
      </c>
    </row>
    <row r="309" spans="1:11" s="14" customFormat="1" ht="54" x14ac:dyDescent="0.25">
      <c r="A309" s="23">
        <v>299</v>
      </c>
      <c r="B309" s="13" t="s">
        <v>476</v>
      </c>
      <c r="C309" s="25"/>
      <c r="D309" s="11" t="s">
        <v>12</v>
      </c>
      <c r="E309" s="36">
        <v>1</v>
      </c>
      <c r="F309" s="11"/>
      <c r="G309" s="11"/>
      <c r="H309" s="11"/>
      <c r="I309" s="11"/>
      <c r="J309" s="12" t="s">
        <v>13</v>
      </c>
      <c r="K309" s="13" t="s">
        <v>477</v>
      </c>
    </row>
    <row r="310" spans="1:11" s="14" customFormat="1" ht="54" x14ac:dyDescent="0.25">
      <c r="A310" s="23">
        <v>300</v>
      </c>
      <c r="B310" s="13" t="s">
        <v>478</v>
      </c>
      <c r="C310" s="25"/>
      <c r="D310" s="11" t="s">
        <v>12</v>
      </c>
      <c r="E310" s="36">
        <v>1</v>
      </c>
      <c r="F310" s="11"/>
      <c r="G310" s="11"/>
      <c r="H310" s="11"/>
      <c r="I310" s="11"/>
      <c r="J310" s="12" t="s">
        <v>13</v>
      </c>
      <c r="K310" s="13" t="s">
        <v>477</v>
      </c>
    </row>
    <row r="311" spans="1:11" s="14" customFormat="1" ht="72" x14ac:dyDescent="0.25">
      <c r="A311" s="23">
        <v>301</v>
      </c>
      <c r="B311" s="13" t="s">
        <v>479</v>
      </c>
      <c r="C311" s="25"/>
      <c r="D311" s="11" t="s">
        <v>12</v>
      </c>
      <c r="E311" s="36">
        <v>0.8</v>
      </c>
      <c r="F311" s="11"/>
      <c r="G311" s="11"/>
      <c r="H311" s="11"/>
      <c r="I311" s="11"/>
      <c r="J311" s="12" t="s">
        <v>13</v>
      </c>
      <c r="K311" s="13" t="s">
        <v>480</v>
      </c>
    </row>
    <row r="312" spans="1:11" s="14" customFormat="1" ht="72" x14ac:dyDescent="0.25">
      <c r="A312" s="23">
        <v>302</v>
      </c>
      <c r="B312" s="13" t="s">
        <v>481</v>
      </c>
      <c r="C312" s="25"/>
      <c r="D312" s="11" t="s">
        <v>12</v>
      </c>
      <c r="E312" s="36">
        <v>0.8</v>
      </c>
      <c r="F312" s="11"/>
      <c r="G312" s="11"/>
      <c r="H312" s="11"/>
      <c r="I312" s="11"/>
      <c r="J312" s="12" t="s">
        <v>13</v>
      </c>
      <c r="K312" s="13" t="s">
        <v>482</v>
      </c>
    </row>
    <row r="313" spans="1:11" s="14" customFormat="1" ht="72" x14ac:dyDescent="0.25">
      <c r="A313" s="23">
        <v>303</v>
      </c>
      <c r="B313" s="13" t="s">
        <v>483</v>
      </c>
      <c r="C313" s="25"/>
      <c r="D313" s="11" t="s">
        <v>12</v>
      </c>
      <c r="E313" s="36">
        <v>0.8</v>
      </c>
      <c r="F313" s="11"/>
      <c r="G313" s="11"/>
      <c r="H313" s="11"/>
      <c r="I313" s="11"/>
      <c r="J313" s="12" t="s">
        <v>13</v>
      </c>
      <c r="K313" s="13" t="s">
        <v>484</v>
      </c>
    </row>
    <row r="314" spans="1:11" s="14" customFormat="1" ht="72" x14ac:dyDescent="0.25">
      <c r="A314" s="23">
        <v>304</v>
      </c>
      <c r="B314" s="13" t="s">
        <v>485</v>
      </c>
      <c r="C314" s="25"/>
      <c r="D314" s="11" t="s">
        <v>12</v>
      </c>
      <c r="E314" s="36">
        <v>0.8</v>
      </c>
      <c r="F314" s="11"/>
      <c r="G314" s="11"/>
      <c r="H314" s="11"/>
      <c r="I314" s="11"/>
      <c r="J314" s="12" t="s">
        <v>13</v>
      </c>
      <c r="K314" s="13" t="s">
        <v>486</v>
      </c>
    </row>
    <row r="315" spans="1:11" s="14" customFormat="1" ht="72" x14ac:dyDescent="0.25">
      <c r="A315" s="23">
        <v>305</v>
      </c>
      <c r="B315" s="13" t="s">
        <v>487</v>
      </c>
      <c r="C315" s="25"/>
      <c r="D315" s="11" t="s">
        <v>12</v>
      </c>
      <c r="E315" s="36">
        <v>0.8</v>
      </c>
      <c r="F315" s="11"/>
      <c r="G315" s="11"/>
      <c r="H315" s="11"/>
      <c r="I315" s="11"/>
      <c r="J315" s="12" t="s">
        <v>13</v>
      </c>
      <c r="K315" s="13" t="s">
        <v>488</v>
      </c>
    </row>
    <row r="316" spans="1:11" s="14" customFormat="1" ht="72" x14ac:dyDescent="0.25">
      <c r="A316" s="23">
        <v>306</v>
      </c>
      <c r="B316" s="13" t="s">
        <v>489</v>
      </c>
      <c r="C316" s="25"/>
      <c r="D316" s="11" t="s">
        <v>12</v>
      </c>
      <c r="E316" s="36">
        <v>0.8</v>
      </c>
      <c r="F316" s="11"/>
      <c r="G316" s="11"/>
      <c r="H316" s="11"/>
      <c r="I316" s="11"/>
      <c r="J316" s="12" t="s">
        <v>13</v>
      </c>
      <c r="K316" s="13" t="s">
        <v>490</v>
      </c>
    </row>
    <row r="317" spans="1:11" s="14" customFormat="1" ht="72" x14ac:dyDescent="0.25">
      <c r="A317" s="23">
        <v>307</v>
      </c>
      <c r="B317" s="13" t="s">
        <v>491</v>
      </c>
      <c r="C317" s="25"/>
      <c r="D317" s="11" t="s">
        <v>12</v>
      </c>
      <c r="E317" s="36">
        <v>0.8</v>
      </c>
      <c r="F317" s="11"/>
      <c r="G317" s="11"/>
      <c r="H317" s="11"/>
      <c r="I317" s="11"/>
      <c r="J317" s="12" t="s">
        <v>13</v>
      </c>
      <c r="K317" s="13" t="s">
        <v>492</v>
      </c>
    </row>
    <row r="318" spans="1:11" s="14" customFormat="1" ht="72" x14ac:dyDescent="0.25">
      <c r="A318" s="23">
        <v>308</v>
      </c>
      <c r="B318" s="13" t="s">
        <v>493</v>
      </c>
      <c r="C318" s="25"/>
      <c r="D318" s="11" t="s">
        <v>12</v>
      </c>
      <c r="E318" s="36">
        <v>0.8</v>
      </c>
      <c r="F318" s="11"/>
      <c r="G318" s="11"/>
      <c r="H318" s="11"/>
      <c r="I318" s="11"/>
      <c r="J318" s="12" t="s">
        <v>13</v>
      </c>
      <c r="K318" s="13" t="s">
        <v>494</v>
      </c>
    </row>
    <row r="319" spans="1:11" s="14" customFormat="1" ht="90" x14ac:dyDescent="0.25">
      <c r="A319" s="23">
        <v>309</v>
      </c>
      <c r="B319" s="13" t="s">
        <v>495</v>
      </c>
      <c r="C319" s="25"/>
      <c r="D319" s="11" t="s">
        <v>12</v>
      </c>
      <c r="E319" s="36">
        <v>1</v>
      </c>
      <c r="F319" s="11">
        <v>1</v>
      </c>
      <c r="G319" s="11" t="s">
        <v>21</v>
      </c>
      <c r="H319" s="22">
        <v>46057</v>
      </c>
      <c r="I319" s="22">
        <v>46069</v>
      </c>
      <c r="J319" s="12" t="s">
        <v>22</v>
      </c>
      <c r="K319" s="13" t="s">
        <v>496</v>
      </c>
    </row>
    <row r="320" spans="1:11" s="14" customFormat="1" ht="90" x14ac:dyDescent="0.25">
      <c r="A320" s="23">
        <v>310</v>
      </c>
      <c r="B320" s="13" t="s">
        <v>497</v>
      </c>
      <c r="C320" s="25"/>
      <c r="D320" s="11" t="s">
        <v>12</v>
      </c>
      <c r="E320" s="36">
        <v>1</v>
      </c>
      <c r="F320" s="11">
        <v>1</v>
      </c>
      <c r="G320" s="11" t="s">
        <v>21</v>
      </c>
      <c r="H320" s="22">
        <v>46057</v>
      </c>
      <c r="I320" s="22">
        <v>46069</v>
      </c>
      <c r="J320" s="12" t="s">
        <v>22</v>
      </c>
      <c r="K320" s="13" t="s">
        <v>498</v>
      </c>
    </row>
    <row r="321" spans="1:11" s="14" customFormat="1" ht="90" x14ac:dyDescent="0.25">
      <c r="A321" s="23">
        <v>311</v>
      </c>
      <c r="B321" s="13" t="s">
        <v>499</v>
      </c>
      <c r="C321" s="25"/>
      <c r="D321" s="11" t="s">
        <v>12</v>
      </c>
      <c r="E321" s="36">
        <v>1</v>
      </c>
      <c r="F321" s="11"/>
      <c r="G321" s="11"/>
      <c r="H321" s="11"/>
      <c r="I321" s="11"/>
      <c r="J321" s="12" t="s">
        <v>13</v>
      </c>
      <c r="K321" s="13" t="s">
        <v>500</v>
      </c>
    </row>
    <row r="322" spans="1:11" s="14" customFormat="1" ht="90" x14ac:dyDescent="0.25">
      <c r="A322" s="23">
        <v>312</v>
      </c>
      <c r="B322" s="13" t="s">
        <v>497</v>
      </c>
      <c r="C322" s="25"/>
      <c r="D322" s="11" t="s">
        <v>12</v>
      </c>
      <c r="E322" s="36">
        <v>1</v>
      </c>
      <c r="F322" s="11"/>
      <c r="G322" s="11"/>
      <c r="H322" s="11"/>
      <c r="I322" s="11"/>
      <c r="J322" s="12" t="s">
        <v>13</v>
      </c>
      <c r="K322" s="13" t="s">
        <v>501</v>
      </c>
    </row>
    <row r="323" spans="1:11" s="14" customFormat="1" ht="36" x14ac:dyDescent="0.25">
      <c r="A323" s="23">
        <v>313</v>
      </c>
      <c r="B323" s="13" t="s">
        <v>502</v>
      </c>
      <c r="C323" s="25"/>
      <c r="D323" s="11" t="s">
        <v>12</v>
      </c>
      <c r="E323" s="36">
        <v>0.8</v>
      </c>
      <c r="F323" s="11">
        <v>0.8</v>
      </c>
      <c r="G323" s="11" t="s">
        <v>21</v>
      </c>
      <c r="H323" s="22">
        <v>45996</v>
      </c>
      <c r="I323" s="11" t="s">
        <v>503</v>
      </c>
      <c r="J323" s="12" t="s">
        <v>22</v>
      </c>
      <c r="K323" s="13" t="s">
        <v>504</v>
      </c>
    </row>
    <row r="324" spans="1:11" s="14" customFormat="1" ht="54" x14ac:dyDescent="0.25">
      <c r="A324" s="23">
        <v>314</v>
      </c>
      <c r="B324" s="13" t="s">
        <v>505</v>
      </c>
      <c r="C324" s="25"/>
      <c r="D324" s="11" t="s">
        <v>12</v>
      </c>
      <c r="E324" s="36">
        <v>0.8</v>
      </c>
      <c r="F324" s="11"/>
      <c r="G324" s="11"/>
      <c r="H324" s="11"/>
      <c r="I324" s="11"/>
      <c r="J324" s="12" t="s">
        <v>13</v>
      </c>
      <c r="K324" s="13" t="s">
        <v>506</v>
      </c>
    </row>
    <row r="325" spans="1:11" s="14" customFormat="1" ht="36" x14ac:dyDescent="0.25">
      <c r="A325" s="23">
        <v>315</v>
      </c>
      <c r="B325" s="13" t="s">
        <v>507</v>
      </c>
      <c r="C325" s="25"/>
      <c r="D325" s="11" t="s">
        <v>12</v>
      </c>
      <c r="E325" s="36">
        <v>0.8</v>
      </c>
      <c r="F325" s="11">
        <v>0.8</v>
      </c>
      <c r="G325" s="11" t="s">
        <v>21</v>
      </c>
      <c r="H325" s="22">
        <v>45980</v>
      </c>
      <c r="I325" s="22">
        <v>45986</v>
      </c>
      <c r="J325" s="12" t="s">
        <v>22</v>
      </c>
      <c r="K325" s="13" t="s">
        <v>508</v>
      </c>
    </row>
    <row r="326" spans="1:11" s="14" customFormat="1" ht="72" x14ac:dyDescent="0.25">
      <c r="A326" s="23">
        <v>316</v>
      </c>
      <c r="B326" s="13" t="s">
        <v>509</v>
      </c>
      <c r="C326" s="25"/>
      <c r="D326" s="11" t="s">
        <v>12</v>
      </c>
      <c r="E326" s="36">
        <v>0.8</v>
      </c>
      <c r="F326" s="11"/>
      <c r="G326" s="11"/>
      <c r="H326" s="11"/>
      <c r="I326" s="11"/>
      <c r="J326" s="12" t="s">
        <v>13</v>
      </c>
      <c r="K326" s="13" t="s">
        <v>510</v>
      </c>
    </row>
    <row r="327" spans="1:11" s="14" customFormat="1" ht="36" x14ac:dyDescent="0.25">
      <c r="A327" s="23">
        <v>317</v>
      </c>
      <c r="B327" s="13" t="s">
        <v>511</v>
      </c>
      <c r="C327" s="25"/>
      <c r="D327" s="11" t="s">
        <v>12</v>
      </c>
      <c r="E327" s="36">
        <v>0.8</v>
      </c>
      <c r="F327" s="11"/>
      <c r="G327" s="11"/>
      <c r="H327" s="11"/>
      <c r="I327" s="11"/>
      <c r="J327" s="12" t="s">
        <v>13</v>
      </c>
      <c r="K327" s="13" t="s">
        <v>512</v>
      </c>
    </row>
    <row r="328" spans="1:11" s="14" customFormat="1" ht="72" x14ac:dyDescent="0.25">
      <c r="A328" s="23">
        <v>318</v>
      </c>
      <c r="B328" s="13" t="s">
        <v>513</v>
      </c>
      <c r="C328" s="25"/>
      <c r="D328" s="11" t="s">
        <v>12</v>
      </c>
      <c r="E328" s="36">
        <v>0.8</v>
      </c>
      <c r="F328" s="11"/>
      <c r="G328" s="11"/>
      <c r="H328" s="11"/>
      <c r="I328" s="11"/>
      <c r="J328" s="12" t="s">
        <v>13</v>
      </c>
      <c r="K328" s="13" t="s">
        <v>514</v>
      </c>
    </row>
    <row r="329" spans="1:11" s="14" customFormat="1" ht="36" x14ac:dyDescent="0.25">
      <c r="A329" s="23">
        <v>319</v>
      </c>
      <c r="B329" s="13" t="s">
        <v>515</v>
      </c>
      <c r="C329" s="25"/>
      <c r="D329" s="11" t="s">
        <v>12</v>
      </c>
      <c r="E329" s="36">
        <v>0.8</v>
      </c>
      <c r="F329" s="11"/>
      <c r="G329" s="11"/>
      <c r="H329" s="11"/>
      <c r="I329" s="11"/>
      <c r="J329" s="12" t="s">
        <v>13</v>
      </c>
      <c r="K329" s="13" t="s">
        <v>516</v>
      </c>
    </row>
    <row r="330" spans="1:11" s="14" customFormat="1" ht="36" x14ac:dyDescent="0.25">
      <c r="A330" s="23">
        <v>320</v>
      </c>
      <c r="B330" s="13" t="s">
        <v>517</v>
      </c>
      <c r="C330" s="25"/>
      <c r="D330" s="11" t="s">
        <v>12</v>
      </c>
      <c r="E330" s="36">
        <v>1.33</v>
      </c>
      <c r="F330" s="11"/>
      <c r="G330" s="11"/>
      <c r="H330" s="11"/>
      <c r="I330" s="11"/>
      <c r="J330" s="12" t="s">
        <v>13</v>
      </c>
      <c r="K330" s="13" t="s">
        <v>518</v>
      </c>
    </row>
    <row r="331" spans="1:11" s="14" customFormat="1" ht="36" x14ac:dyDescent="0.25">
      <c r="A331" s="23">
        <v>321</v>
      </c>
      <c r="B331" s="13" t="s">
        <v>519</v>
      </c>
      <c r="C331" s="25"/>
      <c r="D331" s="11" t="s">
        <v>12</v>
      </c>
      <c r="E331" s="36">
        <v>0.8</v>
      </c>
      <c r="F331" s="11"/>
      <c r="G331" s="11"/>
      <c r="H331" s="11"/>
      <c r="I331" s="11"/>
      <c r="J331" s="12" t="s">
        <v>13</v>
      </c>
      <c r="K331" s="13" t="s">
        <v>520</v>
      </c>
    </row>
    <row r="332" spans="1:11" s="14" customFormat="1" ht="36" x14ac:dyDescent="0.25">
      <c r="A332" s="23">
        <v>322</v>
      </c>
      <c r="B332" s="13" t="s">
        <v>521</v>
      </c>
      <c r="C332" s="25"/>
      <c r="D332" s="11" t="s">
        <v>12</v>
      </c>
      <c r="E332" s="36">
        <v>0.8</v>
      </c>
      <c r="F332" s="11">
        <v>1</v>
      </c>
      <c r="G332" s="11" t="s">
        <v>21</v>
      </c>
      <c r="H332" s="22">
        <v>46051</v>
      </c>
      <c r="I332" s="22">
        <v>46052</v>
      </c>
      <c r="J332" s="12" t="s">
        <v>22</v>
      </c>
      <c r="K332" s="13" t="s">
        <v>522</v>
      </c>
    </row>
    <row r="333" spans="1:11" s="14" customFormat="1" ht="36" x14ac:dyDescent="0.25">
      <c r="A333" s="23">
        <v>323</v>
      </c>
      <c r="B333" s="13" t="s">
        <v>523</v>
      </c>
      <c r="C333" s="25"/>
      <c r="D333" s="11" t="s">
        <v>12</v>
      </c>
      <c r="E333" s="36">
        <v>0.8</v>
      </c>
      <c r="F333" s="11">
        <v>1</v>
      </c>
      <c r="G333" s="11" t="s">
        <v>21</v>
      </c>
      <c r="H333" s="22">
        <v>46051</v>
      </c>
      <c r="I333" s="22">
        <v>46052</v>
      </c>
      <c r="J333" s="12" t="s">
        <v>22</v>
      </c>
      <c r="K333" s="13" t="s">
        <v>524</v>
      </c>
    </row>
    <row r="334" spans="1:11" s="14" customFormat="1" ht="90" x14ac:dyDescent="0.25">
      <c r="A334" s="23">
        <v>324</v>
      </c>
      <c r="B334" s="13" t="s">
        <v>525</v>
      </c>
      <c r="C334" s="25"/>
      <c r="D334" s="11" t="s">
        <v>12</v>
      </c>
      <c r="E334" s="36">
        <v>0.8</v>
      </c>
      <c r="F334" s="11"/>
      <c r="G334" s="11"/>
      <c r="H334" s="11"/>
      <c r="I334" s="11"/>
      <c r="J334" s="12" t="s">
        <v>13</v>
      </c>
      <c r="K334" s="13" t="s">
        <v>526</v>
      </c>
    </row>
    <row r="335" spans="1:11" s="14" customFormat="1" ht="72" x14ac:dyDescent="0.25">
      <c r="A335" s="23">
        <v>325</v>
      </c>
      <c r="B335" s="13" t="s">
        <v>527</v>
      </c>
      <c r="C335" s="25"/>
      <c r="D335" s="11" t="s">
        <v>12</v>
      </c>
      <c r="E335" s="36">
        <v>0.8</v>
      </c>
      <c r="F335" s="11"/>
      <c r="G335" s="11"/>
      <c r="H335" s="11"/>
      <c r="I335" s="11"/>
      <c r="J335" s="12" t="s">
        <v>13</v>
      </c>
      <c r="K335" s="13" t="s">
        <v>528</v>
      </c>
    </row>
    <row r="336" spans="1:11" s="14" customFormat="1" ht="54" x14ac:dyDescent="0.25">
      <c r="A336" s="23">
        <v>326</v>
      </c>
      <c r="B336" s="13" t="s">
        <v>529</v>
      </c>
      <c r="C336" s="25"/>
      <c r="D336" s="11" t="s">
        <v>12</v>
      </c>
      <c r="E336" s="36">
        <v>0.8</v>
      </c>
      <c r="F336" s="11">
        <v>1</v>
      </c>
      <c r="G336" s="11" t="s">
        <v>21</v>
      </c>
      <c r="H336" s="22">
        <v>46048</v>
      </c>
      <c r="I336" s="22">
        <v>46052</v>
      </c>
      <c r="J336" s="12" t="s">
        <v>22</v>
      </c>
      <c r="K336" s="13" t="s">
        <v>530</v>
      </c>
    </row>
    <row r="337" spans="1:11" s="14" customFormat="1" ht="36" x14ac:dyDescent="0.25">
      <c r="A337" s="23">
        <v>327</v>
      </c>
      <c r="B337" s="13" t="s">
        <v>531</v>
      </c>
      <c r="C337" s="25"/>
      <c r="D337" s="11"/>
      <c r="E337" s="36">
        <v>0.9</v>
      </c>
      <c r="F337" s="11">
        <v>1</v>
      </c>
      <c r="G337" s="11" t="s">
        <v>21</v>
      </c>
      <c r="H337" s="22">
        <v>46051</v>
      </c>
      <c r="I337" s="22">
        <v>46052</v>
      </c>
      <c r="J337" s="12" t="s">
        <v>22</v>
      </c>
      <c r="K337" s="13" t="s">
        <v>532</v>
      </c>
    </row>
    <row r="338" spans="1:11" s="14" customFormat="1" ht="36" x14ac:dyDescent="0.25">
      <c r="A338" s="23">
        <v>328</v>
      </c>
      <c r="B338" s="13" t="s">
        <v>533</v>
      </c>
      <c r="C338" s="25"/>
      <c r="D338" s="11" t="s">
        <v>12</v>
      </c>
      <c r="E338" s="36">
        <v>0.8</v>
      </c>
      <c r="F338" s="11">
        <v>1</v>
      </c>
      <c r="G338" s="11" t="s">
        <v>21</v>
      </c>
      <c r="H338" s="22">
        <v>46048</v>
      </c>
      <c r="I338" s="22">
        <v>46052</v>
      </c>
      <c r="J338" s="12" t="s">
        <v>22</v>
      </c>
      <c r="K338" s="13" t="s">
        <v>534</v>
      </c>
    </row>
    <row r="339" spans="1:11" s="14" customFormat="1" ht="36" x14ac:dyDescent="0.25">
      <c r="A339" s="23">
        <v>329</v>
      </c>
      <c r="B339" s="13" t="s">
        <v>535</v>
      </c>
      <c r="C339" s="25"/>
      <c r="D339" s="11" t="s">
        <v>12</v>
      </c>
      <c r="E339" s="36">
        <v>0.8</v>
      </c>
      <c r="F339" s="11">
        <v>1</v>
      </c>
      <c r="G339" s="11" t="s">
        <v>21</v>
      </c>
      <c r="H339" s="22">
        <v>46051</v>
      </c>
      <c r="I339" s="22">
        <v>46052</v>
      </c>
      <c r="J339" s="12" t="s">
        <v>22</v>
      </c>
      <c r="K339" s="13" t="s">
        <v>536</v>
      </c>
    </row>
    <row r="340" spans="1:11" s="14" customFormat="1" ht="36" x14ac:dyDescent="0.25">
      <c r="A340" s="23">
        <v>330</v>
      </c>
      <c r="B340" s="13" t="s">
        <v>537</v>
      </c>
      <c r="C340" s="25"/>
      <c r="D340" s="11" t="s">
        <v>12</v>
      </c>
      <c r="E340" s="36">
        <v>0.8</v>
      </c>
      <c r="F340" s="11">
        <v>1</v>
      </c>
      <c r="G340" s="11" t="s">
        <v>21</v>
      </c>
      <c r="H340" s="22">
        <v>46048</v>
      </c>
      <c r="I340" s="22">
        <v>46052</v>
      </c>
      <c r="J340" s="12" t="s">
        <v>22</v>
      </c>
      <c r="K340" s="13" t="s">
        <v>538</v>
      </c>
    </row>
    <row r="341" spans="1:11" s="14" customFormat="1" ht="54" x14ac:dyDescent="0.25">
      <c r="A341" s="23">
        <v>331</v>
      </c>
      <c r="B341" s="13" t="s">
        <v>539</v>
      </c>
      <c r="C341" s="25"/>
      <c r="D341" s="11" t="s">
        <v>12</v>
      </c>
      <c r="E341" s="36">
        <v>0.8</v>
      </c>
      <c r="F341" s="11"/>
      <c r="G341" s="11"/>
      <c r="H341" s="11"/>
      <c r="I341" s="11"/>
      <c r="J341" s="12" t="s">
        <v>13</v>
      </c>
      <c r="K341" s="13" t="s">
        <v>540</v>
      </c>
    </row>
    <row r="342" spans="1:11" s="14" customFormat="1" ht="72" x14ac:dyDescent="0.25">
      <c r="A342" s="23">
        <v>332</v>
      </c>
      <c r="B342" s="13" t="s">
        <v>541</v>
      </c>
      <c r="C342" s="25"/>
      <c r="D342" s="11" t="s">
        <v>12</v>
      </c>
      <c r="E342" s="36">
        <v>0.8</v>
      </c>
      <c r="F342" s="11">
        <v>3</v>
      </c>
      <c r="G342" s="11" t="s">
        <v>25</v>
      </c>
      <c r="H342" s="22">
        <v>46046</v>
      </c>
      <c r="I342" s="22">
        <v>46113</v>
      </c>
      <c r="J342" s="12" t="s">
        <v>22</v>
      </c>
      <c r="K342" s="13" t="s">
        <v>542</v>
      </c>
    </row>
    <row r="343" spans="1:11" s="14" customFormat="1" ht="54" x14ac:dyDescent="0.25">
      <c r="A343" s="23">
        <v>333</v>
      </c>
      <c r="B343" s="13" t="s">
        <v>543</v>
      </c>
      <c r="C343" s="25"/>
      <c r="D343" s="11" t="s">
        <v>12</v>
      </c>
      <c r="E343" s="36">
        <v>0.8</v>
      </c>
      <c r="F343" s="11">
        <v>0.8</v>
      </c>
      <c r="G343" s="11" t="s">
        <v>21</v>
      </c>
      <c r="H343" s="22">
        <v>45980</v>
      </c>
      <c r="I343" s="22">
        <v>45986</v>
      </c>
      <c r="J343" s="12" t="s">
        <v>22</v>
      </c>
      <c r="K343" s="13" t="s">
        <v>544</v>
      </c>
    </row>
    <row r="344" spans="1:11" s="14" customFormat="1" ht="36" x14ac:dyDescent="0.25">
      <c r="A344" s="23">
        <v>334</v>
      </c>
      <c r="B344" s="13" t="s">
        <v>545</v>
      </c>
      <c r="C344" s="25"/>
      <c r="D344" s="11"/>
      <c r="E344" s="36">
        <v>0.92</v>
      </c>
      <c r="F344" s="11">
        <v>1</v>
      </c>
      <c r="G344" s="11" t="s">
        <v>21</v>
      </c>
      <c r="H344" s="22">
        <v>45988</v>
      </c>
      <c r="I344" s="22">
        <v>45988</v>
      </c>
      <c r="J344" s="12" t="s">
        <v>22</v>
      </c>
      <c r="K344" s="13" t="s">
        <v>546</v>
      </c>
    </row>
    <row r="345" spans="1:11" s="14" customFormat="1" ht="36" x14ac:dyDescent="0.25">
      <c r="A345" s="23">
        <v>335</v>
      </c>
      <c r="B345" s="13" t="s">
        <v>547</v>
      </c>
      <c r="C345" s="25"/>
      <c r="D345" s="11" t="s">
        <v>12</v>
      </c>
      <c r="E345" s="36">
        <v>0.8</v>
      </c>
      <c r="F345" s="11">
        <v>0.8</v>
      </c>
      <c r="G345" s="11" t="s">
        <v>21</v>
      </c>
      <c r="H345" s="22">
        <v>45980</v>
      </c>
      <c r="I345" s="22">
        <v>45986</v>
      </c>
      <c r="J345" s="12" t="s">
        <v>22</v>
      </c>
      <c r="K345" s="13" t="s">
        <v>548</v>
      </c>
    </row>
    <row r="346" spans="1:11" s="14" customFormat="1" ht="54" x14ac:dyDescent="0.25">
      <c r="A346" s="23">
        <v>336</v>
      </c>
      <c r="B346" s="13" t="s">
        <v>549</v>
      </c>
      <c r="C346" s="25"/>
      <c r="D346" s="11" t="s">
        <v>12</v>
      </c>
      <c r="E346" s="36">
        <v>1</v>
      </c>
      <c r="F346" s="11">
        <v>0.5</v>
      </c>
      <c r="G346" s="11" t="s">
        <v>21</v>
      </c>
      <c r="H346" s="22">
        <v>46008</v>
      </c>
      <c r="I346" s="22">
        <v>46013</v>
      </c>
      <c r="J346" s="12" t="s">
        <v>22</v>
      </c>
      <c r="K346" s="13" t="s">
        <v>550</v>
      </c>
    </row>
    <row r="347" spans="1:11" s="14" customFormat="1" ht="90" x14ac:dyDescent="0.25">
      <c r="A347" s="23">
        <v>337</v>
      </c>
      <c r="B347" s="13" t="s">
        <v>551</v>
      </c>
      <c r="C347" s="25"/>
      <c r="D347" s="11" t="s">
        <v>12</v>
      </c>
      <c r="E347" s="36">
        <v>1</v>
      </c>
      <c r="F347" s="11">
        <v>1</v>
      </c>
      <c r="G347" s="11" t="s">
        <v>21</v>
      </c>
      <c r="H347" s="22">
        <v>45988</v>
      </c>
      <c r="I347" s="22">
        <v>45999</v>
      </c>
      <c r="J347" s="12" t="s">
        <v>22</v>
      </c>
      <c r="K347" s="13" t="s">
        <v>552</v>
      </c>
    </row>
    <row r="348" spans="1:11" s="14" customFormat="1" ht="72" x14ac:dyDescent="0.25">
      <c r="A348" s="23">
        <v>338</v>
      </c>
      <c r="B348" s="13" t="s">
        <v>553</v>
      </c>
      <c r="C348" s="25"/>
      <c r="D348" s="11" t="s">
        <v>12</v>
      </c>
      <c r="E348" s="36">
        <v>1</v>
      </c>
      <c r="F348" s="11"/>
      <c r="G348" s="11"/>
      <c r="H348" s="11"/>
      <c r="I348" s="11"/>
      <c r="J348" s="12" t="s">
        <v>13</v>
      </c>
      <c r="K348" s="13" t="s">
        <v>550</v>
      </c>
    </row>
    <row r="349" spans="1:11" s="14" customFormat="1" ht="108" x14ac:dyDescent="0.25">
      <c r="A349" s="23">
        <v>339</v>
      </c>
      <c r="B349" s="13" t="s">
        <v>554</v>
      </c>
      <c r="C349" s="25"/>
      <c r="D349" s="11" t="s">
        <v>12</v>
      </c>
      <c r="E349" s="36">
        <v>1</v>
      </c>
      <c r="F349" s="11"/>
      <c r="G349" s="11"/>
      <c r="H349" s="11"/>
      <c r="I349" s="11"/>
      <c r="J349" s="12" t="s">
        <v>13</v>
      </c>
      <c r="K349" s="13" t="s">
        <v>555</v>
      </c>
    </row>
    <row r="350" spans="1:11" s="14" customFormat="1" ht="54" x14ac:dyDescent="0.25">
      <c r="A350" s="23">
        <v>340</v>
      </c>
      <c r="B350" s="13" t="s">
        <v>556</v>
      </c>
      <c r="C350" s="25"/>
      <c r="D350" s="11" t="s">
        <v>12</v>
      </c>
      <c r="E350" s="36">
        <v>1</v>
      </c>
      <c r="F350" s="11">
        <v>0.8</v>
      </c>
      <c r="G350" s="11" t="s">
        <v>21</v>
      </c>
      <c r="H350" s="22">
        <v>45980</v>
      </c>
      <c r="I350" s="22">
        <v>46030</v>
      </c>
      <c r="J350" s="12" t="s">
        <v>22</v>
      </c>
      <c r="K350" s="13" t="s">
        <v>557</v>
      </c>
    </row>
    <row r="351" spans="1:11" s="14" customFormat="1" ht="90" x14ac:dyDescent="0.25">
      <c r="A351" s="23">
        <v>341</v>
      </c>
      <c r="B351" s="13" t="s">
        <v>558</v>
      </c>
      <c r="C351" s="25"/>
      <c r="D351" s="11" t="s">
        <v>12</v>
      </c>
      <c r="E351" s="36">
        <v>1</v>
      </c>
      <c r="F351" s="11">
        <v>2</v>
      </c>
      <c r="G351" s="11" t="s">
        <v>21</v>
      </c>
      <c r="H351" s="22">
        <v>46058</v>
      </c>
      <c r="I351" s="22">
        <v>46078</v>
      </c>
      <c r="J351" s="12" t="s">
        <v>22</v>
      </c>
      <c r="K351" s="13" t="s">
        <v>559</v>
      </c>
    </row>
    <row r="352" spans="1:11" s="14" customFormat="1" ht="72" x14ac:dyDescent="0.25">
      <c r="A352" s="23">
        <v>342</v>
      </c>
      <c r="B352" s="13" t="s">
        <v>560</v>
      </c>
      <c r="C352" s="25"/>
      <c r="D352" s="11" t="s">
        <v>12</v>
      </c>
      <c r="E352" s="36">
        <v>0.8</v>
      </c>
      <c r="F352" s="11">
        <v>0.5</v>
      </c>
      <c r="G352" s="11" t="s">
        <v>21</v>
      </c>
      <c r="H352" s="22">
        <v>46001</v>
      </c>
      <c r="I352" s="22">
        <v>46013</v>
      </c>
      <c r="J352" s="12" t="s">
        <v>22</v>
      </c>
      <c r="K352" s="13" t="s">
        <v>561</v>
      </c>
    </row>
    <row r="353" spans="1:11" s="14" customFormat="1" ht="90" x14ac:dyDescent="0.25">
      <c r="A353" s="23">
        <v>343</v>
      </c>
      <c r="B353" s="13" t="s">
        <v>562</v>
      </c>
      <c r="C353" s="25"/>
      <c r="D353" s="11" t="s">
        <v>12</v>
      </c>
      <c r="E353" s="36">
        <v>0.8</v>
      </c>
      <c r="F353" s="11"/>
      <c r="G353" s="11"/>
      <c r="H353" s="11"/>
      <c r="I353" s="11"/>
      <c r="J353" s="12" t="s">
        <v>13</v>
      </c>
      <c r="K353" s="13" t="s">
        <v>563</v>
      </c>
    </row>
    <row r="354" spans="1:11" s="14" customFormat="1" ht="36" x14ac:dyDescent="0.25">
      <c r="A354" s="23">
        <v>344</v>
      </c>
      <c r="B354" s="13" t="s">
        <v>564</v>
      </c>
      <c r="C354" s="25"/>
      <c r="D354" s="11" t="s">
        <v>12</v>
      </c>
      <c r="E354" s="36">
        <v>0.8</v>
      </c>
      <c r="F354" s="11">
        <v>1</v>
      </c>
      <c r="G354" s="11" t="s">
        <v>21</v>
      </c>
      <c r="H354" s="22">
        <v>46001</v>
      </c>
      <c r="I354" s="22">
        <v>46013</v>
      </c>
      <c r="J354" s="12" t="s">
        <v>22</v>
      </c>
      <c r="K354" s="13" t="s">
        <v>565</v>
      </c>
    </row>
    <row r="355" spans="1:11" s="14" customFormat="1" ht="54" x14ac:dyDescent="0.25">
      <c r="A355" s="23">
        <v>345</v>
      </c>
      <c r="B355" s="13" t="s">
        <v>566</v>
      </c>
      <c r="C355" s="25"/>
      <c r="D355" s="11" t="s">
        <v>12</v>
      </c>
      <c r="E355" s="36">
        <v>0.8</v>
      </c>
      <c r="F355" s="11">
        <v>1</v>
      </c>
      <c r="G355" s="11" t="s">
        <v>21</v>
      </c>
      <c r="H355" s="22">
        <v>46056</v>
      </c>
      <c r="I355" s="22">
        <v>46070</v>
      </c>
      <c r="J355" s="12" t="s">
        <v>22</v>
      </c>
      <c r="K355" s="13" t="s">
        <v>567</v>
      </c>
    </row>
    <row r="356" spans="1:11" s="14" customFormat="1" ht="54" x14ac:dyDescent="0.25">
      <c r="A356" s="23">
        <v>346</v>
      </c>
      <c r="B356" s="13" t="s">
        <v>568</v>
      </c>
      <c r="C356" s="25"/>
      <c r="D356" s="11" t="s">
        <v>12</v>
      </c>
      <c r="E356" s="36">
        <v>0.8</v>
      </c>
      <c r="F356" s="11">
        <v>0.8</v>
      </c>
      <c r="G356" s="11" t="s">
        <v>21</v>
      </c>
      <c r="H356" s="22">
        <v>45988</v>
      </c>
      <c r="I356" s="22">
        <v>45988</v>
      </c>
      <c r="J356" s="12" t="s">
        <v>22</v>
      </c>
      <c r="K356" s="13" t="s">
        <v>569</v>
      </c>
    </row>
    <row r="357" spans="1:11" s="14" customFormat="1" ht="90" x14ac:dyDescent="0.25">
      <c r="A357" s="23">
        <v>347</v>
      </c>
      <c r="B357" s="13" t="s">
        <v>570</v>
      </c>
      <c r="C357" s="25"/>
      <c r="D357" s="11" t="s">
        <v>12</v>
      </c>
      <c r="E357" s="36">
        <v>0.8</v>
      </c>
      <c r="F357" s="11">
        <v>1</v>
      </c>
      <c r="G357" s="11" t="s">
        <v>21</v>
      </c>
      <c r="H357" s="22">
        <v>46072</v>
      </c>
      <c r="I357" s="22">
        <v>46078</v>
      </c>
      <c r="J357" s="12" t="s">
        <v>22</v>
      </c>
      <c r="K357" s="13" t="s">
        <v>571</v>
      </c>
    </row>
    <row r="358" spans="1:11" s="14" customFormat="1" ht="54" x14ac:dyDescent="0.25">
      <c r="A358" s="23">
        <v>348</v>
      </c>
      <c r="B358" s="13" t="s">
        <v>572</v>
      </c>
      <c r="C358" s="25"/>
      <c r="D358" s="11" t="s">
        <v>12</v>
      </c>
      <c r="E358" s="36">
        <v>0.8</v>
      </c>
      <c r="F358" s="11">
        <v>0.8</v>
      </c>
      <c r="G358" s="11" t="s">
        <v>21</v>
      </c>
      <c r="H358" s="22">
        <v>45980</v>
      </c>
      <c r="I358" s="22">
        <v>45986</v>
      </c>
      <c r="J358" s="12" t="s">
        <v>22</v>
      </c>
      <c r="K358" s="13" t="s">
        <v>573</v>
      </c>
    </row>
    <row r="359" spans="1:11" s="14" customFormat="1" ht="54" x14ac:dyDescent="0.25">
      <c r="A359" s="23">
        <v>349</v>
      </c>
      <c r="B359" s="13" t="s">
        <v>574</v>
      </c>
      <c r="C359" s="25"/>
      <c r="D359" s="11" t="s">
        <v>12</v>
      </c>
      <c r="E359" s="36">
        <v>0.8</v>
      </c>
      <c r="F359" s="11">
        <v>0.8</v>
      </c>
      <c r="G359" s="11" t="s">
        <v>21</v>
      </c>
      <c r="H359" s="22">
        <v>45980</v>
      </c>
      <c r="I359" s="22">
        <v>45986</v>
      </c>
      <c r="J359" s="12" t="s">
        <v>22</v>
      </c>
      <c r="K359" s="13" t="s">
        <v>575</v>
      </c>
    </row>
    <row r="360" spans="1:11" s="14" customFormat="1" ht="36" x14ac:dyDescent="0.25">
      <c r="A360" s="23">
        <v>350</v>
      </c>
      <c r="B360" s="13" t="s">
        <v>576</v>
      </c>
      <c r="C360" s="25"/>
      <c r="D360" s="11" t="s">
        <v>12</v>
      </c>
      <c r="E360" s="36">
        <v>0.8</v>
      </c>
      <c r="F360" s="11">
        <v>0.8</v>
      </c>
      <c r="G360" s="11" t="s">
        <v>21</v>
      </c>
      <c r="H360" s="22">
        <v>45980</v>
      </c>
      <c r="I360" s="22">
        <v>45986</v>
      </c>
      <c r="J360" s="12" t="s">
        <v>22</v>
      </c>
      <c r="K360" s="13" t="s">
        <v>577</v>
      </c>
    </row>
    <row r="361" spans="1:11" s="14" customFormat="1" ht="36" x14ac:dyDescent="0.25">
      <c r="A361" s="23">
        <v>351</v>
      </c>
      <c r="B361" s="13" t="s">
        <v>578</v>
      </c>
      <c r="C361" s="25"/>
      <c r="D361" s="11" t="s">
        <v>12</v>
      </c>
      <c r="E361" s="36">
        <v>0.8</v>
      </c>
      <c r="F361" s="11">
        <v>12</v>
      </c>
      <c r="G361" s="11" t="s">
        <v>21</v>
      </c>
      <c r="H361" s="22">
        <v>45985</v>
      </c>
      <c r="I361" s="22">
        <v>45986</v>
      </c>
      <c r="J361" s="12" t="s">
        <v>22</v>
      </c>
      <c r="K361" s="13" t="s">
        <v>579</v>
      </c>
    </row>
    <row r="362" spans="1:11" s="14" customFormat="1" ht="36" x14ac:dyDescent="0.25">
      <c r="A362" s="23">
        <v>352</v>
      </c>
      <c r="B362" s="13" t="s">
        <v>580</v>
      </c>
      <c r="C362" s="25"/>
      <c r="D362" s="11" t="s">
        <v>12</v>
      </c>
      <c r="E362" s="36">
        <v>0.8</v>
      </c>
      <c r="F362" s="11">
        <v>3</v>
      </c>
      <c r="G362" s="11" t="s">
        <v>21</v>
      </c>
      <c r="H362" s="22">
        <v>45980</v>
      </c>
      <c r="I362" s="22">
        <v>45986</v>
      </c>
      <c r="J362" s="12" t="s">
        <v>22</v>
      </c>
      <c r="K362" s="13" t="s">
        <v>581</v>
      </c>
    </row>
    <row r="363" spans="1:11" s="14" customFormat="1" ht="54" x14ac:dyDescent="0.25">
      <c r="A363" s="23">
        <v>353</v>
      </c>
      <c r="B363" s="13" t="s">
        <v>582</v>
      </c>
      <c r="C363" s="25"/>
      <c r="D363" s="11" t="s">
        <v>12</v>
      </c>
      <c r="E363" s="36">
        <v>0.8</v>
      </c>
      <c r="F363" s="11">
        <v>2</v>
      </c>
      <c r="G363" s="11" t="s">
        <v>21</v>
      </c>
      <c r="H363" s="22">
        <v>45988</v>
      </c>
      <c r="I363" s="22">
        <v>45988</v>
      </c>
      <c r="J363" s="12" t="s">
        <v>22</v>
      </c>
      <c r="K363" s="13" t="s">
        <v>583</v>
      </c>
    </row>
    <row r="364" spans="1:11" s="14" customFormat="1" ht="90" x14ac:dyDescent="0.25">
      <c r="A364" s="23">
        <v>354</v>
      </c>
      <c r="B364" s="13" t="s">
        <v>584</v>
      </c>
      <c r="C364" s="25"/>
      <c r="D364" s="11" t="s">
        <v>12</v>
      </c>
      <c r="E364" s="36">
        <v>0.8</v>
      </c>
      <c r="F364" s="11">
        <v>2</v>
      </c>
      <c r="G364" s="11" t="s">
        <v>436</v>
      </c>
      <c r="H364" s="22">
        <v>46048</v>
      </c>
      <c r="I364" s="22">
        <v>46066</v>
      </c>
      <c r="J364" s="12" t="s">
        <v>22</v>
      </c>
      <c r="K364" s="13" t="s">
        <v>26</v>
      </c>
    </row>
    <row r="365" spans="1:11" s="14" customFormat="1" ht="54" x14ac:dyDescent="0.25">
      <c r="A365" s="23">
        <v>355</v>
      </c>
      <c r="B365" s="13" t="s">
        <v>585</v>
      </c>
      <c r="C365" s="25"/>
      <c r="D365" s="11" t="s">
        <v>12</v>
      </c>
      <c r="E365" s="36">
        <v>0.8</v>
      </c>
      <c r="F365" s="11">
        <v>0.8</v>
      </c>
      <c r="G365" s="11" t="s">
        <v>21</v>
      </c>
      <c r="H365" s="22">
        <v>45972</v>
      </c>
      <c r="I365" s="22">
        <v>45986</v>
      </c>
      <c r="J365" s="12" t="s">
        <v>22</v>
      </c>
      <c r="K365" s="13" t="s">
        <v>26</v>
      </c>
    </row>
    <row r="366" spans="1:11" s="14" customFormat="1" ht="90" x14ac:dyDescent="0.25">
      <c r="A366" s="23">
        <v>356</v>
      </c>
      <c r="B366" s="13" t="s">
        <v>586</v>
      </c>
      <c r="C366" s="25"/>
      <c r="D366" s="11" t="s">
        <v>12</v>
      </c>
      <c r="E366" s="36">
        <v>0.8</v>
      </c>
      <c r="F366" s="11">
        <v>0.8</v>
      </c>
      <c r="G366" s="11" t="s">
        <v>21</v>
      </c>
      <c r="H366" s="22">
        <v>45972</v>
      </c>
      <c r="I366" s="22">
        <v>45986</v>
      </c>
      <c r="J366" s="12" t="s">
        <v>22</v>
      </c>
      <c r="K366" s="13" t="s">
        <v>26</v>
      </c>
    </row>
    <row r="367" spans="1:11" s="14" customFormat="1" ht="54" x14ac:dyDescent="0.25">
      <c r="A367" s="23">
        <v>357</v>
      </c>
      <c r="B367" s="13" t="s">
        <v>587</v>
      </c>
      <c r="C367" s="25"/>
      <c r="D367" s="11" t="s">
        <v>12</v>
      </c>
      <c r="E367" s="36">
        <v>0.8</v>
      </c>
      <c r="F367" s="11">
        <v>1</v>
      </c>
      <c r="G367" s="11" t="s">
        <v>21</v>
      </c>
      <c r="H367" s="22">
        <v>45967</v>
      </c>
      <c r="I367" s="22">
        <v>45986</v>
      </c>
      <c r="J367" s="12" t="s">
        <v>22</v>
      </c>
      <c r="K367" s="13" t="s">
        <v>26</v>
      </c>
    </row>
    <row r="368" spans="1:11" s="14" customFormat="1" ht="90" x14ac:dyDescent="0.25">
      <c r="A368" s="23">
        <v>358</v>
      </c>
      <c r="B368" s="13" t="s">
        <v>588</v>
      </c>
      <c r="C368" s="25"/>
      <c r="D368" s="11" t="s">
        <v>12</v>
      </c>
      <c r="E368" s="36">
        <v>0.8</v>
      </c>
      <c r="F368" s="11">
        <v>0.8</v>
      </c>
      <c r="G368" s="11" t="s">
        <v>21</v>
      </c>
      <c r="H368" s="22">
        <v>45980</v>
      </c>
      <c r="I368" s="22">
        <v>45986</v>
      </c>
      <c r="J368" s="12" t="s">
        <v>22</v>
      </c>
      <c r="K368" s="13" t="s">
        <v>26</v>
      </c>
    </row>
    <row r="369" spans="1:11" s="14" customFormat="1" ht="54" x14ac:dyDescent="0.25">
      <c r="A369" s="23">
        <v>359</v>
      </c>
      <c r="B369" s="13" t="s">
        <v>589</v>
      </c>
      <c r="C369" s="25"/>
      <c r="D369" s="11" t="s">
        <v>12</v>
      </c>
      <c r="E369" s="36">
        <v>0.8</v>
      </c>
      <c r="F369" s="11">
        <v>0.8</v>
      </c>
      <c r="G369" s="11" t="s">
        <v>21</v>
      </c>
      <c r="H369" s="22">
        <v>45980</v>
      </c>
      <c r="I369" s="22">
        <v>45986</v>
      </c>
      <c r="J369" s="12" t="s">
        <v>22</v>
      </c>
      <c r="K369" s="13" t="s">
        <v>26</v>
      </c>
    </row>
    <row r="370" spans="1:11" s="14" customFormat="1" ht="54" x14ac:dyDescent="0.25">
      <c r="A370" s="23">
        <v>360</v>
      </c>
      <c r="B370" s="13" t="s">
        <v>590</v>
      </c>
      <c r="C370" s="25"/>
      <c r="D370" s="11"/>
      <c r="E370" s="36">
        <v>0.8</v>
      </c>
      <c r="F370" s="11">
        <v>0.8</v>
      </c>
      <c r="G370" s="11" t="s">
        <v>21</v>
      </c>
      <c r="H370" s="22">
        <v>45980</v>
      </c>
      <c r="I370" s="22">
        <v>45986</v>
      </c>
      <c r="J370" s="12" t="s">
        <v>22</v>
      </c>
      <c r="K370" s="13" t="s">
        <v>26</v>
      </c>
    </row>
    <row r="371" spans="1:11" s="14" customFormat="1" ht="36" x14ac:dyDescent="0.25">
      <c r="A371" s="23">
        <v>361</v>
      </c>
      <c r="B371" s="13" t="s">
        <v>591</v>
      </c>
      <c r="C371" s="25"/>
      <c r="D371" s="11" t="s">
        <v>12</v>
      </c>
      <c r="E371" s="36">
        <v>0.8</v>
      </c>
      <c r="F371" s="11">
        <v>0.8</v>
      </c>
      <c r="G371" s="11" t="s">
        <v>21</v>
      </c>
      <c r="H371" s="22">
        <v>45980</v>
      </c>
      <c r="I371" s="22">
        <v>45986</v>
      </c>
      <c r="J371" s="12" t="s">
        <v>22</v>
      </c>
      <c r="K371" s="13" t="s">
        <v>26</v>
      </c>
    </row>
    <row r="372" spans="1:11" s="14" customFormat="1" ht="108" x14ac:dyDescent="0.25">
      <c r="A372" s="23">
        <v>362</v>
      </c>
      <c r="B372" s="13" t="s">
        <v>592</v>
      </c>
      <c r="C372" s="25"/>
      <c r="D372" s="11" t="s">
        <v>12</v>
      </c>
      <c r="E372" s="36">
        <v>0.8</v>
      </c>
      <c r="F372" s="11">
        <v>0.8</v>
      </c>
      <c r="G372" s="11" t="s">
        <v>21</v>
      </c>
      <c r="H372" s="22">
        <v>46002</v>
      </c>
      <c r="I372" s="22">
        <v>46013</v>
      </c>
      <c r="J372" s="12" t="s">
        <v>22</v>
      </c>
      <c r="K372" s="13" t="s">
        <v>26</v>
      </c>
    </row>
    <row r="373" spans="1:11" s="14" customFormat="1" ht="36" x14ac:dyDescent="0.25">
      <c r="A373" s="23">
        <v>363</v>
      </c>
      <c r="B373" s="13" t="s">
        <v>593</v>
      </c>
      <c r="C373" s="25"/>
      <c r="D373" s="11"/>
      <c r="E373" s="36">
        <v>0.8</v>
      </c>
      <c r="F373" s="11">
        <v>0.8</v>
      </c>
      <c r="G373" s="11" t="s">
        <v>21</v>
      </c>
      <c r="H373" s="22">
        <v>45967</v>
      </c>
      <c r="I373" s="22">
        <v>45986</v>
      </c>
      <c r="J373" s="12" t="s">
        <v>22</v>
      </c>
      <c r="K373" s="13" t="s">
        <v>26</v>
      </c>
    </row>
    <row r="374" spans="1:11" s="14" customFormat="1" ht="54" x14ac:dyDescent="0.25">
      <c r="A374" s="23">
        <v>364</v>
      </c>
      <c r="B374" s="13" t="s">
        <v>594</v>
      </c>
      <c r="C374" s="25"/>
      <c r="D374" s="11" t="s">
        <v>12</v>
      </c>
      <c r="E374" s="36">
        <v>0.8</v>
      </c>
      <c r="F374" s="11">
        <v>0.8</v>
      </c>
      <c r="G374" s="11" t="s">
        <v>21</v>
      </c>
      <c r="H374" s="22">
        <v>45972</v>
      </c>
      <c r="I374" s="22">
        <v>45986</v>
      </c>
      <c r="J374" s="12" t="s">
        <v>22</v>
      </c>
      <c r="K374" s="13" t="s">
        <v>26</v>
      </c>
    </row>
    <row r="375" spans="1:11" s="14" customFormat="1" ht="36" x14ac:dyDescent="0.25">
      <c r="A375" s="23">
        <v>365</v>
      </c>
      <c r="B375" s="13" t="s">
        <v>595</v>
      </c>
      <c r="C375" s="25"/>
      <c r="D375" s="11" t="s">
        <v>12</v>
      </c>
      <c r="E375" s="36">
        <v>0.8</v>
      </c>
      <c r="F375" s="11">
        <v>0.9</v>
      </c>
      <c r="G375" s="11" t="s">
        <v>21</v>
      </c>
      <c r="H375" s="22">
        <v>45980</v>
      </c>
      <c r="I375" s="22">
        <v>45986</v>
      </c>
      <c r="J375" s="12" t="s">
        <v>22</v>
      </c>
      <c r="K375" s="13" t="s">
        <v>26</v>
      </c>
    </row>
    <row r="376" spans="1:11" s="14" customFormat="1" ht="90" x14ac:dyDescent="0.25">
      <c r="A376" s="23">
        <v>366</v>
      </c>
      <c r="B376" s="13" t="s">
        <v>596</v>
      </c>
      <c r="C376" s="25"/>
      <c r="D376" s="11" t="s">
        <v>12</v>
      </c>
      <c r="E376" s="36">
        <v>0.8</v>
      </c>
      <c r="F376" s="11">
        <v>1</v>
      </c>
      <c r="G376" s="11" t="s">
        <v>21</v>
      </c>
      <c r="H376" s="22">
        <v>46058</v>
      </c>
      <c r="I376" s="22">
        <v>46078</v>
      </c>
      <c r="J376" s="12" t="s">
        <v>22</v>
      </c>
      <c r="K376" s="13" t="s">
        <v>597</v>
      </c>
    </row>
    <row r="377" spans="1:11" s="14" customFormat="1" ht="36" x14ac:dyDescent="0.25">
      <c r="A377" s="23">
        <v>367</v>
      </c>
      <c r="B377" s="13" t="s">
        <v>598</v>
      </c>
      <c r="C377" s="25"/>
      <c r="D377" s="11" t="s">
        <v>12</v>
      </c>
      <c r="E377" s="36">
        <v>0.8</v>
      </c>
      <c r="F377" s="11">
        <v>1</v>
      </c>
      <c r="G377" s="11" t="s">
        <v>21</v>
      </c>
      <c r="H377" s="22">
        <v>45980</v>
      </c>
      <c r="I377" s="22">
        <v>45986</v>
      </c>
      <c r="J377" s="12" t="s">
        <v>22</v>
      </c>
      <c r="K377" s="13" t="s">
        <v>599</v>
      </c>
    </row>
    <row r="378" spans="1:11" s="14" customFormat="1" ht="72" x14ac:dyDescent="0.25">
      <c r="A378" s="23">
        <v>368</v>
      </c>
      <c r="B378" s="13" t="s">
        <v>600</v>
      </c>
      <c r="C378" s="25"/>
      <c r="D378" s="11" t="s">
        <v>12</v>
      </c>
      <c r="E378" s="36">
        <v>0.8</v>
      </c>
      <c r="F378" s="11"/>
      <c r="G378" s="11"/>
      <c r="H378" s="11"/>
      <c r="I378" s="11"/>
      <c r="J378" s="12" t="s">
        <v>13</v>
      </c>
      <c r="K378" s="13" t="s">
        <v>26</v>
      </c>
    </row>
    <row r="379" spans="1:11" s="14" customFormat="1" ht="90" x14ac:dyDescent="0.25">
      <c r="A379" s="23">
        <v>369</v>
      </c>
      <c r="B379" s="13" t="s">
        <v>601</v>
      </c>
      <c r="C379" s="25"/>
      <c r="D379" s="11" t="s">
        <v>12</v>
      </c>
      <c r="E379" s="36">
        <v>0.8</v>
      </c>
      <c r="F379" s="11"/>
      <c r="G379" s="11"/>
      <c r="H379" s="11"/>
      <c r="I379" s="11"/>
      <c r="J379" s="12" t="s">
        <v>13</v>
      </c>
      <c r="K379" s="13" t="s">
        <v>602</v>
      </c>
    </row>
    <row r="380" spans="1:11" s="14" customFormat="1" ht="36" x14ac:dyDescent="0.25">
      <c r="A380" s="23">
        <v>370</v>
      </c>
      <c r="B380" s="13" t="s">
        <v>603</v>
      </c>
      <c r="C380" s="25"/>
      <c r="D380" s="11" t="s">
        <v>12</v>
      </c>
      <c r="E380" s="36">
        <v>0.8</v>
      </c>
      <c r="F380" s="11">
        <v>1</v>
      </c>
      <c r="G380" s="11" t="s">
        <v>25</v>
      </c>
      <c r="H380" s="22">
        <v>45981</v>
      </c>
      <c r="I380" s="22">
        <v>45999</v>
      </c>
      <c r="J380" s="12" t="s">
        <v>22</v>
      </c>
      <c r="K380" s="13" t="s">
        <v>604</v>
      </c>
    </row>
    <row r="381" spans="1:11" s="14" customFormat="1" ht="36" x14ac:dyDescent="0.25">
      <c r="A381" s="23">
        <v>371</v>
      </c>
      <c r="B381" s="13" t="s">
        <v>605</v>
      </c>
      <c r="C381" s="25"/>
      <c r="D381" s="11" t="s">
        <v>12</v>
      </c>
      <c r="E381" s="36">
        <v>0.8</v>
      </c>
      <c r="F381" s="11">
        <v>1.5</v>
      </c>
      <c r="G381" s="11" t="s">
        <v>25</v>
      </c>
      <c r="H381" s="22">
        <v>45979</v>
      </c>
      <c r="I381" s="22">
        <v>45999</v>
      </c>
      <c r="J381" s="12" t="s">
        <v>22</v>
      </c>
      <c r="K381" s="13" t="s">
        <v>606</v>
      </c>
    </row>
    <row r="382" spans="1:11" s="14" customFormat="1" ht="54" x14ac:dyDescent="0.25">
      <c r="A382" s="23">
        <v>372</v>
      </c>
      <c r="B382" s="13" t="s">
        <v>607</v>
      </c>
      <c r="C382" s="25"/>
      <c r="D382" s="11" t="s">
        <v>12</v>
      </c>
      <c r="E382" s="36">
        <v>0.8</v>
      </c>
      <c r="F382" s="11">
        <v>2</v>
      </c>
      <c r="G382" s="11" t="s">
        <v>25</v>
      </c>
      <c r="H382" s="22">
        <v>45981</v>
      </c>
      <c r="I382" s="22">
        <v>45981</v>
      </c>
      <c r="J382" s="12" t="s">
        <v>22</v>
      </c>
      <c r="K382" s="13" t="s">
        <v>606</v>
      </c>
    </row>
    <row r="383" spans="1:11" s="14" customFormat="1" ht="90" x14ac:dyDescent="0.25">
      <c r="A383" s="23">
        <v>373</v>
      </c>
      <c r="B383" s="13" t="s">
        <v>608</v>
      </c>
      <c r="C383" s="25"/>
      <c r="D383" s="11" t="s">
        <v>12</v>
      </c>
      <c r="E383" s="36">
        <v>0.8</v>
      </c>
      <c r="F383" s="11"/>
      <c r="G383" s="11"/>
      <c r="H383" s="11"/>
      <c r="I383" s="11"/>
      <c r="J383" s="12" t="s">
        <v>13</v>
      </c>
      <c r="K383" s="13" t="s">
        <v>609</v>
      </c>
    </row>
    <row r="384" spans="1:11" s="14" customFormat="1" ht="54" x14ac:dyDescent="0.25">
      <c r="A384" s="23">
        <v>374</v>
      </c>
      <c r="B384" s="13" t="s">
        <v>610</v>
      </c>
      <c r="C384" s="25"/>
      <c r="D384" s="11" t="s">
        <v>12</v>
      </c>
      <c r="E384" s="36">
        <v>0.8</v>
      </c>
      <c r="F384" s="11">
        <v>2</v>
      </c>
      <c r="G384" s="11" t="s">
        <v>25</v>
      </c>
      <c r="H384" s="22">
        <v>45980</v>
      </c>
      <c r="I384" s="22">
        <v>45981</v>
      </c>
      <c r="J384" s="12" t="s">
        <v>22</v>
      </c>
      <c r="K384" s="13" t="s">
        <v>26</v>
      </c>
    </row>
    <row r="385" spans="1:11" s="14" customFormat="1" ht="54" x14ac:dyDescent="0.25">
      <c r="A385" s="23">
        <v>375</v>
      </c>
      <c r="B385" s="13" t="s">
        <v>611</v>
      </c>
      <c r="C385" s="25"/>
      <c r="D385" s="11" t="s">
        <v>12</v>
      </c>
      <c r="E385" s="36">
        <v>0.8</v>
      </c>
      <c r="F385" s="11">
        <v>1.2</v>
      </c>
      <c r="G385" s="11" t="s">
        <v>25</v>
      </c>
      <c r="H385" s="22">
        <v>45981</v>
      </c>
      <c r="I385" s="22">
        <v>45999</v>
      </c>
      <c r="J385" s="12" t="s">
        <v>22</v>
      </c>
      <c r="K385" s="13" t="s">
        <v>612</v>
      </c>
    </row>
    <row r="386" spans="1:11" s="14" customFormat="1" ht="36" x14ac:dyDescent="0.25">
      <c r="A386" s="23">
        <v>376</v>
      </c>
      <c r="B386" s="13" t="s">
        <v>613</v>
      </c>
      <c r="C386" s="25"/>
      <c r="D386" s="11" t="s">
        <v>12</v>
      </c>
      <c r="E386" s="36">
        <v>0.8</v>
      </c>
      <c r="F386" s="11">
        <v>2</v>
      </c>
      <c r="G386" s="11" t="s">
        <v>25</v>
      </c>
      <c r="H386" s="22">
        <v>45980</v>
      </c>
      <c r="I386" s="22">
        <v>45999</v>
      </c>
      <c r="J386" s="12" t="s">
        <v>22</v>
      </c>
      <c r="K386" s="13" t="s">
        <v>614</v>
      </c>
    </row>
    <row r="387" spans="1:11" s="14" customFormat="1" ht="36" x14ac:dyDescent="0.25">
      <c r="A387" s="23">
        <v>377</v>
      </c>
      <c r="B387" s="13" t="s">
        <v>615</v>
      </c>
      <c r="C387" s="25"/>
      <c r="D387" s="11" t="s">
        <v>12</v>
      </c>
      <c r="E387" s="36">
        <v>0.8</v>
      </c>
      <c r="F387" s="11">
        <v>2.5</v>
      </c>
      <c r="G387" s="11" t="s">
        <v>25</v>
      </c>
      <c r="H387" s="22">
        <v>45988</v>
      </c>
      <c r="I387" s="22">
        <v>45988</v>
      </c>
      <c r="J387" s="12" t="s">
        <v>22</v>
      </c>
      <c r="K387" s="13" t="s">
        <v>616</v>
      </c>
    </row>
    <row r="388" spans="1:11" s="14" customFormat="1" ht="36" x14ac:dyDescent="0.25">
      <c r="A388" s="23">
        <v>378</v>
      </c>
      <c r="B388" s="13" t="s">
        <v>617</v>
      </c>
      <c r="C388" s="25"/>
      <c r="D388" s="11" t="s">
        <v>12</v>
      </c>
      <c r="E388" s="36">
        <v>0.8</v>
      </c>
      <c r="F388" s="11">
        <v>1.5</v>
      </c>
      <c r="G388" s="11" t="s">
        <v>25</v>
      </c>
      <c r="H388" s="22">
        <v>45980</v>
      </c>
      <c r="I388" s="22">
        <v>45981</v>
      </c>
      <c r="J388" s="12" t="s">
        <v>22</v>
      </c>
      <c r="K388" s="13" t="s">
        <v>618</v>
      </c>
    </row>
    <row r="389" spans="1:11" s="14" customFormat="1" ht="54" x14ac:dyDescent="0.25">
      <c r="A389" s="23">
        <v>379</v>
      </c>
      <c r="B389" s="13" t="s">
        <v>619</v>
      </c>
      <c r="C389" s="25"/>
      <c r="D389" s="11" t="s">
        <v>12</v>
      </c>
      <c r="E389" s="36">
        <v>0.8</v>
      </c>
      <c r="F389" s="11">
        <v>1.8</v>
      </c>
      <c r="G389" s="11" t="s">
        <v>25</v>
      </c>
      <c r="H389" s="22">
        <v>45979</v>
      </c>
      <c r="I389" s="22">
        <v>45981</v>
      </c>
      <c r="J389" s="12" t="s">
        <v>22</v>
      </c>
      <c r="K389" s="13" t="s">
        <v>620</v>
      </c>
    </row>
    <row r="390" spans="1:11" s="14" customFormat="1" ht="90" x14ac:dyDescent="0.25">
      <c r="A390" s="23">
        <v>380</v>
      </c>
      <c r="B390" s="13" t="s">
        <v>621</v>
      </c>
      <c r="C390" s="25"/>
      <c r="D390" s="11" t="s">
        <v>12</v>
      </c>
      <c r="E390" s="36">
        <v>0.8</v>
      </c>
      <c r="F390" s="11">
        <v>0.5</v>
      </c>
      <c r="G390" s="11" t="s">
        <v>21</v>
      </c>
      <c r="H390" s="22">
        <v>46012</v>
      </c>
      <c r="I390" s="22">
        <v>46014</v>
      </c>
      <c r="J390" s="12" t="s">
        <v>22</v>
      </c>
      <c r="K390" s="13" t="s">
        <v>622</v>
      </c>
    </row>
    <row r="391" spans="1:11" s="14" customFormat="1" ht="54" x14ac:dyDescent="0.25">
      <c r="A391" s="23">
        <v>381</v>
      </c>
      <c r="B391" s="13" t="s">
        <v>623</v>
      </c>
      <c r="C391" s="25"/>
      <c r="D391" s="11" t="s">
        <v>12</v>
      </c>
      <c r="E391" s="36">
        <v>0.8</v>
      </c>
      <c r="F391" s="11">
        <v>1.8</v>
      </c>
      <c r="G391" s="11" t="s">
        <v>25</v>
      </c>
      <c r="H391" s="22">
        <v>45979</v>
      </c>
      <c r="I391" s="22">
        <v>45981</v>
      </c>
      <c r="J391" s="12" t="s">
        <v>22</v>
      </c>
      <c r="K391" s="13" t="s">
        <v>624</v>
      </c>
    </row>
    <row r="392" spans="1:11" s="14" customFormat="1" ht="90" x14ac:dyDescent="0.25">
      <c r="A392" s="23">
        <v>382</v>
      </c>
      <c r="B392" s="13" t="s">
        <v>625</v>
      </c>
      <c r="C392" s="25"/>
      <c r="D392" s="11" t="s">
        <v>12</v>
      </c>
      <c r="E392" s="36">
        <v>0.8</v>
      </c>
      <c r="F392" s="11">
        <v>0.8</v>
      </c>
      <c r="G392" s="11" t="s">
        <v>21</v>
      </c>
      <c r="H392" s="22">
        <v>46013</v>
      </c>
      <c r="I392" s="22">
        <v>46014</v>
      </c>
      <c r="J392" s="12" t="s">
        <v>22</v>
      </c>
      <c r="K392" s="13" t="s">
        <v>626</v>
      </c>
    </row>
    <row r="393" spans="1:11" s="14" customFormat="1" ht="54" x14ac:dyDescent="0.25">
      <c r="A393" s="23">
        <v>383</v>
      </c>
      <c r="B393" s="13" t="s">
        <v>627</v>
      </c>
      <c r="C393" s="25"/>
      <c r="D393" s="11" t="s">
        <v>12</v>
      </c>
      <c r="E393" s="36">
        <v>0.8</v>
      </c>
      <c r="F393" s="11">
        <v>1</v>
      </c>
      <c r="G393" s="11" t="s">
        <v>25</v>
      </c>
      <c r="H393" s="22">
        <v>45979</v>
      </c>
      <c r="I393" s="22">
        <v>45981</v>
      </c>
      <c r="J393" s="12" t="s">
        <v>22</v>
      </c>
      <c r="K393" s="13" t="s">
        <v>628</v>
      </c>
    </row>
    <row r="394" spans="1:11" s="14" customFormat="1" ht="90" x14ac:dyDescent="0.25">
      <c r="A394" s="23">
        <v>384</v>
      </c>
      <c r="B394" s="13" t="s">
        <v>629</v>
      </c>
      <c r="C394" s="25"/>
      <c r="D394" s="11" t="s">
        <v>12</v>
      </c>
      <c r="E394" s="36">
        <v>0.8</v>
      </c>
      <c r="F394" s="11"/>
      <c r="G394" s="11"/>
      <c r="H394" s="11"/>
      <c r="I394" s="11"/>
      <c r="J394" s="12" t="s">
        <v>13</v>
      </c>
      <c r="K394" s="13" t="s">
        <v>630</v>
      </c>
    </row>
    <row r="395" spans="1:11" s="14" customFormat="1" ht="54" x14ac:dyDescent="0.25">
      <c r="A395" s="23">
        <v>385</v>
      </c>
      <c r="B395" s="13" t="s">
        <v>631</v>
      </c>
      <c r="C395" s="25"/>
      <c r="D395" s="11" t="s">
        <v>12</v>
      </c>
      <c r="E395" s="36">
        <v>0.8</v>
      </c>
      <c r="F395" s="11">
        <v>1</v>
      </c>
      <c r="G395" s="11" t="s">
        <v>25</v>
      </c>
      <c r="H395" s="22">
        <v>45980</v>
      </c>
      <c r="I395" s="22">
        <v>45981</v>
      </c>
      <c r="J395" s="12" t="s">
        <v>22</v>
      </c>
      <c r="K395" s="13" t="s">
        <v>632</v>
      </c>
    </row>
    <row r="396" spans="1:11" s="14" customFormat="1" ht="54" x14ac:dyDescent="0.25">
      <c r="A396" s="23">
        <v>386</v>
      </c>
      <c r="B396" s="13" t="s">
        <v>633</v>
      </c>
      <c r="C396" s="25"/>
      <c r="D396" s="11"/>
      <c r="E396" s="36">
        <v>0.92</v>
      </c>
      <c r="F396" s="11">
        <v>1.5</v>
      </c>
      <c r="G396" s="11" t="s">
        <v>25</v>
      </c>
      <c r="H396" s="22">
        <v>45979</v>
      </c>
      <c r="I396" s="22">
        <v>45999</v>
      </c>
      <c r="J396" s="12" t="s">
        <v>22</v>
      </c>
      <c r="K396" s="13" t="s">
        <v>634</v>
      </c>
    </row>
    <row r="397" spans="1:11" s="14" customFormat="1" ht="36" x14ac:dyDescent="0.25">
      <c r="A397" s="23">
        <v>387</v>
      </c>
      <c r="B397" s="13" t="s">
        <v>635</v>
      </c>
      <c r="C397" s="25"/>
      <c r="D397" s="11" t="s">
        <v>12</v>
      </c>
      <c r="E397" s="36">
        <v>0.8</v>
      </c>
      <c r="F397" s="11">
        <v>1</v>
      </c>
      <c r="G397" s="11" t="s">
        <v>25</v>
      </c>
      <c r="H397" s="22">
        <v>45979</v>
      </c>
      <c r="I397" s="22">
        <v>45981</v>
      </c>
      <c r="J397" s="12" t="s">
        <v>22</v>
      </c>
      <c r="K397" s="13" t="s">
        <v>636</v>
      </c>
    </row>
    <row r="398" spans="1:11" s="14" customFormat="1" ht="108" x14ac:dyDescent="0.25">
      <c r="A398" s="23">
        <v>388</v>
      </c>
      <c r="B398" s="13" t="s">
        <v>637</v>
      </c>
      <c r="C398" s="25"/>
      <c r="D398" s="11" t="s">
        <v>12</v>
      </c>
      <c r="E398" s="36">
        <v>0.8</v>
      </c>
      <c r="F398" s="11">
        <v>1</v>
      </c>
      <c r="G398" s="11" t="s">
        <v>25</v>
      </c>
      <c r="H398" s="22">
        <v>45979</v>
      </c>
      <c r="I398" s="22">
        <v>45999</v>
      </c>
      <c r="J398" s="12" t="s">
        <v>22</v>
      </c>
      <c r="K398" s="13" t="s">
        <v>638</v>
      </c>
    </row>
    <row r="399" spans="1:11" s="14" customFormat="1" ht="54" x14ac:dyDescent="0.25">
      <c r="A399" s="23">
        <v>389</v>
      </c>
      <c r="B399" s="13" t="s">
        <v>639</v>
      </c>
      <c r="C399" s="25"/>
      <c r="D399" s="11"/>
      <c r="E399" s="36">
        <v>1.35</v>
      </c>
      <c r="F399" s="11">
        <v>2.5</v>
      </c>
      <c r="G399" s="11" t="s">
        <v>25</v>
      </c>
      <c r="H399" s="22">
        <v>45979</v>
      </c>
      <c r="I399" s="22">
        <v>45999</v>
      </c>
      <c r="J399" s="12" t="s">
        <v>22</v>
      </c>
      <c r="K399" s="13" t="s">
        <v>640</v>
      </c>
    </row>
    <row r="400" spans="1:11" s="14" customFormat="1" ht="54" x14ac:dyDescent="0.25">
      <c r="A400" s="23">
        <v>390</v>
      </c>
      <c r="B400" s="13" t="s">
        <v>641</v>
      </c>
      <c r="C400" s="25"/>
      <c r="D400" s="11" t="s">
        <v>12</v>
      </c>
      <c r="E400" s="36">
        <v>0.8</v>
      </c>
      <c r="F400" s="11">
        <v>1.3</v>
      </c>
      <c r="G400" s="11" t="s">
        <v>25</v>
      </c>
      <c r="H400" s="22">
        <v>45979</v>
      </c>
      <c r="I400" s="22">
        <v>45981</v>
      </c>
      <c r="J400" s="12" t="s">
        <v>22</v>
      </c>
      <c r="K400" s="13" t="s">
        <v>642</v>
      </c>
    </row>
    <row r="401" spans="1:11" s="14" customFormat="1" ht="36" x14ac:dyDescent="0.25">
      <c r="A401" s="23">
        <v>391</v>
      </c>
      <c r="B401" s="13" t="s">
        <v>643</v>
      </c>
      <c r="C401" s="25"/>
      <c r="D401" s="11" t="s">
        <v>12</v>
      </c>
      <c r="E401" s="36">
        <v>0.8</v>
      </c>
      <c r="F401" s="11">
        <v>3</v>
      </c>
      <c r="G401" s="11" t="s">
        <v>25</v>
      </c>
      <c r="H401" s="22">
        <v>45979</v>
      </c>
      <c r="I401" s="22">
        <v>45981</v>
      </c>
      <c r="J401" s="12" t="s">
        <v>22</v>
      </c>
      <c r="K401" s="13" t="s">
        <v>644</v>
      </c>
    </row>
    <row r="402" spans="1:11" s="14" customFormat="1" ht="90" x14ac:dyDescent="0.25">
      <c r="A402" s="23">
        <v>392</v>
      </c>
      <c r="B402" s="13" t="s">
        <v>645</v>
      </c>
      <c r="C402" s="25"/>
      <c r="D402" s="11" t="s">
        <v>12</v>
      </c>
      <c r="E402" s="36">
        <v>0.8</v>
      </c>
      <c r="F402" s="11"/>
      <c r="G402" s="11"/>
      <c r="H402" s="11"/>
      <c r="I402" s="11"/>
      <c r="J402" s="12" t="s">
        <v>13</v>
      </c>
      <c r="K402" s="13" t="s">
        <v>646</v>
      </c>
    </row>
    <row r="403" spans="1:11" s="14" customFormat="1" ht="36" x14ac:dyDescent="0.25">
      <c r="A403" s="23">
        <v>393</v>
      </c>
      <c r="B403" s="13" t="s">
        <v>647</v>
      </c>
      <c r="C403" s="25"/>
      <c r="D403" s="11" t="s">
        <v>12</v>
      </c>
      <c r="E403" s="36">
        <v>0.8</v>
      </c>
      <c r="F403" s="11">
        <v>1.3</v>
      </c>
      <c r="G403" s="11" t="s">
        <v>25</v>
      </c>
      <c r="H403" s="22">
        <v>45980</v>
      </c>
      <c r="I403" s="22">
        <v>45981</v>
      </c>
      <c r="J403" s="12" t="s">
        <v>13</v>
      </c>
      <c r="K403" s="13" t="s">
        <v>648</v>
      </c>
    </row>
    <row r="404" spans="1:11" s="14" customFormat="1" ht="72" x14ac:dyDescent="0.25">
      <c r="A404" s="23">
        <v>394</v>
      </c>
      <c r="B404" s="13" t="s">
        <v>649</v>
      </c>
      <c r="C404" s="25"/>
      <c r="D404" s="11" t="s">
        <v>12</v>
      </c>
      <c r="E404" s="36">
        <v>1</v>
      </c>
      <c r="F404" s="11">
        <v>2</v>
      </c>
      <c r="G404" s="11" t="s">
        <v>21</v>
      </c>
      <c r="H404" s="22">
        <v>45967</v>
      </c>
      <c r="I404" s="22">
        <v>45986</v>
      </c>
      <c r="J404" s="12" t="s">
        <v>22</v>
      </c>
      <c r="K404" s="13" t="s">
        <v>206</v>
      </c>
    </row>
    <row r="405" spans="1:11" s="14" customFormat="1" ht="72" x14ac:dyDescent="0.25">
      <c r="A405" s="23">
        <v>395</v>
      </c>
      <c r="B405" s="13" t="s">
        <v>650</v>
      </c>
      <c r="C405" s="25"/>
      <c r="D405" s="11" t="s">
        <v>12</v>
      </c>
      <c r="E405" s="36">
        <v>0.8</v>
      </c>
      <c r="F405" s="11"/>
      <c r="G405" s="11"/>
      <c r="H405" s="11"/>
      <c r="I405" s="11"/>
      <c r="J405" s="12" t="s">
        <v>13</v>
      </c>
      <c r="K405" s="13" t="s">
        <v>651</v>
      </c>
    </row>
    <row r="406" spans="1:11" s="14" customFormat="1" ht="72" x14ac:dyDescent="0.25">
      <c r="A406" s="23">
        <v>396</v>
      </c>
      <c r="B406" s="13" t="s">
        <v>652</v>
      </c>
      <c r="C406" s="25"/>
      <c r="D406" s="11" t="s">
        <v>12</v>
      </c>
      <c r="E406" s="36">
        <v>0.8</v>
      </c>
      <c r="F406" s="11">
        <v>1.5</v>
      </c>
      <c r="G406" s="11" t="s">
        <v>25</v>
      </c>
      <c r="H406" s="22">
        <v>45981</v>
      </c>
      <c r="I406" s="22">
        <v>45999</v>
      </c>
      <c r="J406" s="12" t="s">
        <v>22</v>
      </c>
      <c r="K406" s="13" t="s">
        <v>208</v>
      </c>
    </row>
    <row r="407" spans="1:11" s="14" customFormat="1" ht="72" x14ac:dyDescent="0.25">
      <c r="A407" s="23">
        <v>397</v>
      </c>
      <c r="B407" s="13" t="s">
        <v>653</v>
      </c>
      <c r="C407" s="25"/>
      <c r="D407" s="11" t="s">
        <v>12</v>
      </c>
      <c r="E407" s="36">
        <v>0.8</v>
      </c>
      <c r="F407" s="11">
        <v>2.5</v>
      </c>
      <c r="G407" s="11" t="s">
        <v>25</v>
      </c>
      <c r="H407" s="22">
        <v>45988</v>
      </c>
      <c r="I407" s="22">
        <v>45999</v>
      </c>
      <c r="J407" s="12" t="s">
        <v>22</v>
      </c>
      <c r="K407" s="13" t="s">
        <v>654</v>
      </c>
    </row>
    <row r="408" spans="1:11" s="14" customFormat="1" ht="126" x14ac:dyDescent="0.25">
      <c r="A408" s="23">
        <v>398</v>
      </c>
      <c r="B408" s="13" t="s">
        <v>655</v>
      </c>
      <c r="C408" s="25"/>
      <c r="D408" s="11" t="s">
        <v>12</v>
      </c>
      <c r="E408" s="36">
        <v>2</v>
      </c>
      <c r="F408" s="11"/>
      <c r="G408" s="11"/>
      <c r="H408" s="11"/>
      <c r="I408" s="11"/>
      <c r="J408" s="12" t="s">
        <v>13</v>
      </c>
      <c r="K408" s="13" t="s">
        <v>26</v>
      </c>
    </row>
    <row r="409" spans="1:11" s="14" customFormat="1" ht="126" x14ac:dyDescent="0.25">
      <c r="A409" s="23">
        <v>399</v>
      </c>
      <c r="B409" s="13" t="s">
        <v>656</v>
      </c>
      <c r="C409" s="25"/>
      <c r="D409" s="11" t="s">
        <v>12</v>
      </c>
      <c r="E409" s="36">
        <v>2</v>
      </c>
      <c r="F409" s="11"/>
      <c r="G409" s="11"/>
      <c r="H409" s="11"/>
      <c r="I409" s="11"/>
      <c r="J409" s="12" t="s">
        <v>13</v>
      </c>
      <c r="K409" s="13" t="s">
        <v>26</v>
      </c>
    </row>
    <row r="410" spans="1:11" s="14" customFormat="1" ht="36" x14ac:dyDescent="0.25">
      <c r="A410" s="23">
        <v>400</v>
      </c>
      <c r="B410" s="13" t="s">
        <v>657</v>
      </c>
      <c r="C410" s="25"/>
      <c r="D410" s="11" t="s">
        <v>12</v>
      </c>
      <c r="E410" s="36">
        <v>1</v>
      </c>
      <c r="F410" s="11">
        <v>1</v>
      </c>
      <c r="G410" s="11" t="s">
        <v>21</v>
      </c>
      <c r="H410" s="22">
        <v>46009</v>
      </c>
      <c r="I410" s="22">
        <v>46013</v>
      </c>
      <c r="J410" s="12" t="s">
        <v>22</v>
      </c>
      <c r="K410" s="13" t="s">
        <v>214</v>
      </c>
    </row>
    <row r="411" spans="1:11" s="14" customFormat="1" ht="36" x14ac:dyDescent="0.25">
      <c r="A411" s="23">
        <v>401</v>
      </c>
      <c r="B411" s="13" t="s">
        <v>658</v>
      </c>
      <c r="C411" s="25"/>
      <c r="D411" s="11" t="s">
        <v>16</v>
      </c>
      <c r="E411" s="36">
        <v>1</v>
      </c>
      <c r="F411" s="11"/>
      <c r="G411" s="11"/>
      <c r="H411" s="11"/>
      <c r="I411" s="11"/>
      <c r="J411" s="12" t="s">
        <v>13</v>
      </c>
      <c r="K411" s="13" t="s">
        <v>214</v>
      </c>
    </row>
    <row r="412" spans="1:11" s="14" customFormat="1" ht="36" x14ac:dyDescent="0.25">
      <c r="A412" s="23">
        <v>402</v>
      </c>
      <c r="B412" s="13" t="s">
        <v>659</v>
      </c>
      <c r="C412" s="25"/>
      <c r="D412" s="11" t="s">
        <v>16</v>
      </c>
      <c r="E412" s="36">
        <v>1</v>
      </c>
      <c r="F412" s="11"/>
      <c r="G412" s="11"/>
      <c r="H412" s="11"/>
      <c r="I412" s="11"/>
      <c r="J412" s="12" t="s">
        <v>13</v>
      </c>
      <c r="K412" s="13" t="s">
        <v>214</v>
      </c>
    </row>
    <row r="413" spans="1:11" s="14" customFormat="1" ht="54" x14ac:dyDescent="0.25">
      <c r="A413" s="23">
        <v>403</v>
      </c>
      <c r="B413" s="13" t="s">
        <v>660</v>
      </c>
      <c r="C413" s="25"/>
      <c r="D413" s="11" t="s">
        <v>16</v>
      </c>
      <c r="E413" s="36">
        <v>3</v>
      </c>
      <c r="F413" s="11"/>
      <c r="G413" s="11"/>
      <c r="H413" s="11"/>
      <c r="I413" s="11"/>
      <c r="J413" s="12" t="s">
        <v>13</v>
      </c>
      <c r="K413" s="13" t="s">
        <v>214</v>
      </c>
    </row>
    <row r="414" spans="1:11" s="20" customFormat="1" ht="18" x14ac:dyDescent="0.25">
      <c r="A414" s="23"/>
      <c r="B414" s="16" t="s">
        <v>661</v>
      </c>
      <c r="C414" s="17">
        <v>790.99</v>
      </c>
      <c r="D414" s="18"/>
      <c r="E414" s="15"/>
      <c r="F414" s="17">
        <f>SUM(F415:F548)</f>
        <v>55</v>
      </c>
      <c r="G414" s="18"/>
      <c r="H414" s="18"/>
      <c r="I414" s="18"/>
      <c r="J414" s="18"/>
      <c r="K414" s="19"/>
    </row>
    <row r="415" spans="1:11" s="14" customFormat="1" ht="36" x14ac:dyDescent="0.25">
      <c r="A415" s="21">
        <v>404</v>
      </c>
      <c r="B415" s="13" t="s">
        <v>662</v>
      </c>
      <c r="C415" s="26"/>
      <c r="D415" s="11" t="s">
        <v>12</v>
      </c>
      <c r="E415" s="36">
        <v>1</v>
      </c>
      <c r="F415" s="11"/>
      <c r="G415" s="11"/>
      <c r="H415" s="11"/>
      <c r="I415" s="11"/>
      <c r="J415" s="12" t="s">
        <v>13</v>
      </c>
      <c r="K415" s="13" t="s">
        <v>26</v>
      </c>
    </row>
    <row r="416" spans="1:11" s="14" customFormat="1" ht="36" x14ac:dyDescent="0.25">
      <c r="A416" s="21">
        <v>405</v>
      </c>
      <c r="B416" s="13" t="s">
        <v>663</v>
      </c>
      <c r="C416" s="26"/>
      <c r="D416" s="11" t="s">
        <v>12</v>
      </c>
      <c r="E416" s="36">
        <v>1.36</v>
      </c>
      <c r="F416" s="11"/>
      <c r="G416" s="11"/>
      <c r="H416" s="11"/>
      <c r="I416" s="11"/>
      <c r="J416" s="12" t="s">
        <v>13</v>
      </c>
      <c r="K416" s="13" t="s">
        <v>26</v>
      </c>
    </row>
    <row r="417" spans="1:11" s="14" customFormat="1" ht="36" x14ac:dyDescent="0.25">
      <c r="A417" s="21">
        <v>406</v>
      </c>
      <c r="B417" s="13" t="s">
        <v>664</v>
      </c>
      <c r="C417" s="26"/>
      <c r="D417" s="11" t="s">
        <v>12</v>
      </c>
      <c r="E417" s="36">
        <v>1.55</v>
      </c>
      <c r="F417" s="11"/>
      <c r="G417" s="11"/>
      <c r="H417" s="11"/>
      <c r="I417" s="11"/>
      <c r="J417" s="12" t="s">
        <v>13</v>
      </c>
      <c r="K417" s="13" t="s">
        <v>26</v>
      </c>
    </row>
    <row r="418" spans="1:11" s="14" customFormat="1" ht="54" x14ac:dyDescent="0.25">
      <c r="A418" s="21">
        <v>407</v>
      </c>
      <c r="B418" s="24" t="s">
        <v>665</v>
      </c>
      <c r="C418" s="26"/>
      <c r="D418" s="11" t="s">
        <v>12</v>
      </c>
      <c r="E418" s="36">
        <v>0.5</v>
      </c>
      <c r="F418" s="11"/>
      <c r="G418" s="11"/>
      <c r="H418" s="11"/>
      <c r="I418" s="11"/>
      <c r="J418" s="12" t="s">
        <v>13</v>
      </c>
      <c r="K418" s="13" t="s">
        <v>26</v>
      </c>
    </row>
    <row r="419" spans="1:11" s="14" customFormat="1" ht="36" x14ac:dyDescent="0.25">
      <c r="A419" s="21">
        <v>408</v>
      </c>
      <c r="B419" s="24" t="s">
        <v>666</v>
      </c>
      <c r="C419" s="26"/>
      <c r="D419" s="11" t="s">
        <v>12</v>
      </c>
      <c r="E419" s="36">
        <v>1</v>
      </c>
      <c r="F419" s="11"/>
      <c r="G419" s="11"/>
      <c r="H419" s="11"/>
      <c r="I419" s="11"/>
      <c r="J419" s="12" t="s">
        <v>13</v>
      </c>
      <c r="K419" s="13" t="s">
        <v>17</v>
      </c>
    </row>
    <row r="420" spans="1:11" s="14" customFormat="1" ht="36" x14ac:dyDescent="0.25">
      <c r="A420" s="21">
        <v>409</v>
      </c>
      <c r="B420" s="24" t="s">
        <v>667</v>
      </c>
      <c r="C420" s="26"/>
      <c r="D420" s="11" t="s">
        <v>16</v>
      </c>
      <c r="E420" s="36">
        <v>3</v>
      </c>
      <c r="F420" s="11"/>
      <c r="G420" s="11"/>
      <c r="H420" s="11"/>
      <c r="I420" s="11"/>
      <c r="J420" s="12" t="s">
        <v>13</v>
      </c>
      <c r="K420" s="13" t="s">
        <v>17</v>
      </c>
    </row>
    <row r="421" spans="1:11" s="14" customFormat="1" ht="144" x14ac:dyDescent="0.25">
      <c r="A421" s="21">
        <v>410</v>
      </c>
      <c r="B421" s="13" t="s">
        <v>668</v>
      </c>
      <c r="C421" s="26"/>
      <c r="D421" s="11" t="s">
        <v>669</v>
      </c>
      <c r="E421" s="36">
        <v>7</v>
      </c>
      <c r="F421" s="11"/>
      <c r="G421" s="11"/>
      <c r="H421" s="11"/>
      <c r="I421" s="11"/>
      <c r="J421" s="12" t="s">
        <v>13</v>
      </c>
      <c r="K421" s="13" t="s">
        <v>26</v>
      </c>
    </row>
    <row r="422" spans="1:11" s="14" customFormat="1" ht="36" x14ac:dyDescent="0.25">
      <c r="A422" s="21">
        <v>411</v>
      </c>
      <c r="B422" s="13" t="s">
        <v>670</v>
      </c>
      <c r="C422" s="26"/>
      <c r="D422" s="11" t="s">
        <v>12</v>
      </c>
      <c r="E422" s="36">
        <v>2</v>
      </c>
      <c r="F422" s="11"/>
      <c r="G422" s="11"/>
      <c r="H422" s="11"/>
      <c r="I422" s="11"/>
      <c r="J422" s="12" t="s">
        <v>13</v>
      </c>
      <c r="K422" s="13" t="s">
        <v>26</v>
      </c>
    </row>
    <row r="423" spans="1:11" s="14" customFormat="1" ht="36" x14ac:dyDescent="0.25">
      <c r="A423" s="21">
        <v>412</v>
      </c>
      <c r="B423" s="13" t="s">
        <v>671</v>
      </c>
      <c r="C423" s="26"/>
      <c r="D423" s="11" t="s">
        <v>12</v>
      </c>
      <c r="E423" s="36">
        <v>2</v>
      </c>
      <c r="F423" s="11"/>
      <c r="G423" s="11"/>
      <c r="H423" s="11"/>
      <c r="I423" s="11"/>
      <c r="J423" s="12" t="s">
        <v>13</v>
      </c>
      <c r="K423" s="13" t="s">
        <v>26</v>
      </c>
    </row>
    <row r="424" spans="1:11" s="14" customFormat="1" ht="54" x14ac:dyDescent="0.25">
      <c r="A424" s="21">
        <v>413</v>
      </c>
      <c r="B424" s="13" t="s">
        <v>672</v>
      </c>
      <c r="C424" s="26"/>
      <c r="D424" s="11" t="s">
        <v>669</v>
      </c>
      <c r="E424" s="36">
        <v>1</v>
      </c>
      <c r="F424" s="11">
        <v>1</v>
      </c>
      <c r="G424" s="11" t="s">
        <v>92</v>
      </c>
      <c r="H424" s="22">
        <v>46027</v>
      </c>
      <c r="I424" s="22">
        <v>46064</v>
      </c>
      <c r="J424" s="12" t="s">
        <v>22</v>
      </c>
      <c r="K424" s="13" t="s">
        <v>26</v>
      </c>
    </row>
    <row r="425" spans="1:11" s="14" customFormat="1" ht="36" x14ac:dyDescent="0.25">
      <c r="A425" s="21">
        <v>414</v>
      </c>
      <c r="B425" s="13" t="s">
        <v>673</v>
      </c>
      <c r="C425" s="26"/>
      <c r="D425" s="11" t="s">
        <v>12</v>
      </c>
      <c r="E425" s="36">
        <v>2</v>
      </c>
      <c r="F425" s="11"/>
      <c r="G425" s="11"/>
      <c r="H425" s="11"/>
      <c r="I425" s="11"/>
      <c r="J425" s="12" t="s">
        <v>13</v>
      </c>
      <c r="K425" s="13" t="s">
        <v>26</v>
      </c>
    </row>
    <row r="426" spans="1:11" s="14" customFormat="1" ht="54" x14ac:dyDescent="0.25">
      <c r="A426" s="21">
        <v>415</v>
      </c>
      <c r="B426" s="13" t="s">
        <v>674</v>
      </c>
      <c r="C426" s="26"/>
      <c r="D426" s="11" t="s">
        <v>12</v>
      </c>
      <c r="E426" s="36">
        <v>1</v>
      </c>
      <c r="F426" s="11">
        <v>1.1000000000000001</v>
      </c>
      <c r="G426" s="11" t="s">
        <v>92</v>
      </c>
      <c r="H426" s="22">
        <v>46064</v>
      </c>
      <c r="I426" s="22">
        <v>46064</v>
      </c>
      <c r="J426" s="12" t="s">
        <v>22</v>
      </c>
      <c r="K426" s="13" t="s">
        <v>26</v>
      </c>
    </row>
    <row r="427" spans="1:11" s="14" customFormat="1" ht="108" x14ac:dyDescent="0.25">
      <c r="A427" s="21">
        <v>416</v>
      </c>
      <c r="B427" s="13" t="s">
        <v>675</v>
      </c>
      <c r="C427" s="26"/>
      <c r="D427" s="11" t="s">
        <v>12</v>
      </c>
      <c r="E427" s="36">
        <v>1</v>
      </c>
      <c r="F427" s="11">
        <v>1.1000000000000001</v>
      </c>
      <c r="G427" s="11" t="s">
        <v>92</v>
      </c>
      <c r="H427" s="22">
        <v>46064</v>
      </c>
      <c r="I427" s="22">
        <v>46064</v>
      </c>
      <c r="J427" s="12" t="s">
        <v>22</v>
      </c>
      <c r="K427" s="13" t="s">
        <v>26</v>
      </c>
    </row>
    <row r="428" spans="1:11" s="14" customFormat="1" ht="108" x14ac:dyDescent="0.25">
      <c r="A428" s="21">
        <v>417</v>
      </c>
      <c r="B428" s="13" t="s">
        <v>676</v>
      </c>
      <c r="C428" s="26"/>
      <c r="D428" s="11" t="s">
        <v>12</v>
      </c>
      <c r="E428" s="36">
        <v>50</v>
      </c>
      <c r="F428" s="11"/>
      <c r="G428" s="11"/>
      <c r="H428" s="11"/>
      <c r="I428" s="11"/>
      <c r="J428" s="12" t="s">
        <v>13</v>
      </c>
      <c r="K428" s="13" t="s">
        <v>677</v>
      </c>
    </row>
    <row r="429" spans="1:11" s="14" customFormat="1" ht="90" x14ac:dyDescent="0.25">
      <c r="A429" s="21">
        <v>418</v>
      </c>
      <c r="B429" s="13" t="s">
        <v>678</v>
      </c>
      <c r="C429" s="26"/>
      <c r="D429" s="11" t="s">
        <v>12</v>
      </c>
      <c r="E429" s="36">
        <v>25</v>
      </c>
      <c r="F429" s="11"/>
      <c r="G429" s="11"/>
      <c r="H429" s="11"/>
      <c r="I429" s="11"/>
      <c r="J429" s="12" t="s">
        <v>13</v>
      </c>
      <c r="K429" s="13" t="s">
        <v>679</v>
      </c>
    </row>
    <row r="430" spans="1:11" s="14" customFormat="1" ht="108" x14ac:dyDescent="0.25">
      <c r="A430" s="21">
        <v>419</v>
      </c>
      <c r="B430" s="13" t="s">
        <v>680</v>
      </c>
      <c r="C430" s="26"/>
      <c r="D430" s="11" t="s">
        <v>12</v>
      </c>
      <c r="E430" s="36">
        <v>50</v>
      </c>
      <c r="F430" s="11"/>
      <c r="G430" s="11"/>
      <c r="H430" s="11"/>
      <c r="I430" s="11"/>
      <c r="J430" s="12" t="s">
        <v>13</v>
      </c>
      <c r="K430" s="13" t="s">
        <v>681</v>
      </c>
    </row>
    <row r="431" spans="1:11" s="14" customFormat="1" ht="90" x14ac:dyDescent="0.25">
      <c r="A431" s="21">
        <v>420</v>
      </c>
      <c r="B431" s="13" t="s">
        <v>682</v>
      </c>
      <c r="C431" s="26"/>
      <c r="D431" s="11" t="s">
        <v>12</v>
      </c>
      <c r="E431" s="36">
        <v>60</v>
      </c>
      <c r="F431" s="11"/>
      <c r="G431" s="11"/>
      <c r="H431" s="11"/>
      <c r="I431" s="11"/>
      <c r="J431" s="12" t="s">
        <v>13</v>
      </c>
      <c r="K431" s="13" t="s">
        <v>683</v>
      </c>
    </row>
    <row r="432" spans="1:11" s="14" customFormat="1" ht="108" x14ac:dyDescent="0.25">
      <c r="A432" s="21">
        <v>421</v>
      </c>
      <c r="B432" s="13" t="s">
        <v>684</v>
      </c>
      <c r="C432" s="26"/>
      <c r="D432" s="11" t="s">
        <v>12</v>
      </c>
      <c r="E432" s="36">
        <v>50</v>
      </c>
      <c r="F432" s="11"/>
      <c r="G432" s="11"/>
      <c r="H432" s="11"/>
      <c r="I432" s="11"/>
      <c r="J432" s="12" t="s">
        <v>13</v>
      </c>
      <c r="K432" s="13" t="s">
        <v>685</v>
      </c>
    </row>
    <row r="433" spans="1:11" s="14" customFormat="1" ht="54" x14ac:dyDescent="0.25">
      <c r="A433" s="21">
        <v>422</v>
      </c>
      <c r="B433" s="13" t="s">
        <v>686</v>
      </c>
      <c r="C433" s="26"/>
      <c r="D433" s="11" t="s">
        <v>12</v>
      </c>
      <c r="E433" s="36">
        <v>1</v>
      </c>
      <c r="F433" s="11">
        <v>2</v>
      </c>
      <c r="G433" s="11" t="s">
        <v>32</v>
      </c>
      <c r="H433" s="22">
        <v>46027</v>
      </c>
      <c r="I433" s="22">
        <v>46033</v>
      </c>
      <c r="J433" s="12" t="s">
        <v>22</v>
      </c>
      <c r="K433" s="13" t="s">
        <v>687</v>
      </c>
    </row>
    <row r="434" spans="1:11" s="14" customFormat="1" ht="54" x14ac:dyDescent="0.25">
      <c r="A434" s="21">
        <v>423</v>
      </c>
      <c r="B434" s="13" t="s">
        <v>688</v>
      </c>
      <c r="C434" s="26"/>
      <c r="D434" s="11" t="s">
        <v>12</v>
      </c>
      <c r="E434" s="36">
        <v>1</v>
      </c>
      <c r="F434" s="11">
        <v>1</v>
      </c>
      <c r="G434" s="11" t="s">
        <v>92</v>
      </c>
      <c r="H434" s="22">
        <v>46027</v>
      </c>
      <c r="I434" s="22">
        <v>46033</v>
      </c>
      <c r="J434" s="12" t="s">
        <v>22</v>
      </c>
      <c r="K434" s="13" t="s">
        <v>689</v>
      </c>
    </row>
    <row r="435" spans="1:11" s="14" customFormat="1" ht="54" x14ac:dyDescent="0.25">
      <c r="A435" s="21">
        <v>424</v>
      </c>
      <c r="B435" s="13" t="s">
        <v>690</v>
      </c>
      <c r="C435" s="26"/>
      <c r="D435" s="11" t="s">
        <v>12</v>
      </c>
      <c r="E435" s="36">
        <v>1</v>
      </c>
      <c r="F435" s="11">
        <v>1</v>
      </c>
      <c r="G435" s="11" t="s">
        <v>32</v>
      </c>
      <c r="H435" s="22">
        <v>46027</v>
      </c>
      <c r="I435" s="22">
        <v>46033</v>
      </c>
      <c r="J435" s="12" t="s">
        <v>22</v>
      </c>
      <c r="K435" s="13" t="s">
        <v>691</v>
      </c>
    </row>
    <row r="436" spans="1:11" s="14" customFormat="1" ht="36" x14ac:dyDescent="0.25">
      <c r="A436" s="21">
        <v>425</v>
      </c>
      <c r="B436" s="13" t="s">
        <v>692</v>
      </c>
      <c r="C436" s="26"/>
      <c r="D436" s="11" t="s">
        <v>12</v>
      </c>
      <c r="E436" s="36">
        <v>1</v>
      </c>
      <c r="F436" s="11"/>
      <c r="G436" s="11"/>
      <c r="H436" s="11"/>
      <c r="I436" s="11"/>
      <c r="J436" s="12" t="s">
        <v>13</v>
      </c>
      <c r="K436" s="13" t="s">
        <v>693</v>
      </c>
    </row>
    <row r="437" spans="1:11" s="14" customFormat="1" ht="36" x14ac:dyDescent="0.25">
      <c r="A437" s="21">
        <v>426</v>
      </c>
      <c r="B437" s="13" t="s">
        <v>694</v>
      </c>
      <c r="C437" s="26"/>
      <c r="D437" s="11" t="s">
        <v>12</v>
      </c>
      <c r="E437" s="36">
        <v>1</v>
      </c>
      <c r="F437" s="11"/>
      <c r="G437" s="11"/>
      <c r="H437" s="11"/>
      <c r="I437" s="11"/>
      <c r="J437" s="12" t="s">
        <v>13</v>
      </c>
      <c r="K437" s="13" t="s">
        <v>695</v>
      </c>
    </row>
    <row r="438" spans="1:11" s="14" customFormat="1" ht="36" x14ac:dyDescent="0.25">
      <c r="A438" s="21">
        <v>427</v>
      </c>
      <c r="B438" s="13" t="s">
        <v>696</v>
      </c>
      <c r="C438" s="26"/>
      <c r="D438" s="11" t="s">
        <v>12</v>
      </c>
      <c r="E438" s="36">
        <v>1</v>
      </c>
      <c r="F438" s="11">
        <v>1.5</v>
      </c>
      <c r="G438" s="11" t="s">
        <v>21</v>
      </c>
      <c r="H438" s="22">
        <v>46028</v>
      </c>
      <c r="I438" s="22">
        <v>46041</v>
      </c>
      <c r="J438" s="12" t="s">
        <v>22</v>
      </c>
      <c r="K438" s="13" t="s">
        <v>26</v>
      </c>
    </row>
    <row r="439" spans="1:11" s="14" customFormat="1" ht="36" x14ac:dyDescent="0.25">
      <c r="A439" s="21">
        <v>428</v>
      </c>
      <c r="B439" s="13" t="s">
        <v>697</v>
      </c>
      <c r="C439" s="26"/>
      <c r="D439" s="11" t="s">
        <v>12</v>
      </c>
      <c r="E439" s="36">
        <v>1</v>
      </c>
      <c r="F439" s="11">
        <v>1.5</v>
      </c>
      <c r="G439" s="11" t="s">
        <v>21</v>
      </c>
      <c r="H439" s="22">
        <v>46028</v>
      </c>
      <c r="I439" s="22">
        <v>46041</v>
      </c>
      <c r="J439" s="12" t="s">
        <v>22</v>
      </c>
      <c r="K439" s="13" t="s">
        <v>26</v>
      </c>
    </row>
    <row r="440" spans="1:11" s="14" customFormat="1" ht="36" x14ac:dyDescent="0.25">
      <c r="A440" s="21">
        <v>429</v>
      </c>
      <c r="B440" s="13" t="s">
        <v>698</v>
      </c>
      <c r="C440" s="26"/>
      <c r="D440" s="11" t="s">
        <v>12</v>
      </c>
      <c r="E440" s="36">
        <v>1</v>
      </c>
      <c r="F440" s="11">
        <v>1</v>
      </c>
      <c r="G440" s="11" t="s">
        <v>21</v>
      </c>
      <c r="H440" s="22">
        <v>46028</v>
      </c>
      <c r="I440" s="22">
        <v>46041</v>
      </c>
      <c r="J440" s="12" t="s">
        <v>22</v>
      </c>
      <c r="K440" s="13" t="s">
        <v>26</v>
      </c>
    </row>
    <row r="441" spans="1:11" s="14" customFormat="1" ht="36" x14ac:dyDescent="0.25">
      <c r="A441" s="21">
        <v>430</v>
      </c>
      <c r="B441" s="13" t="s">
        <v>699</v>
      </c>
      <c r="C441" s="26"/>
      <c r="D441" s="11" t="s">
        <v>12</v>
      </c>
      <c r="E441" s="36">
        <v>1</v>
      </c>
      <c r="F441" s="11"/>
      <c r="G441" s="11"/>
      <c r="H441" s="11"/>
      <c r="I441" s="11"/>
      <c r="J441" s="12" t="s">
        <v>13</v>
      </c>
      <c r="K441" s="13" t="s">
        <v>700</v>
      </c>
    </row>
    <row r="442" spans="1:11" s="14" customFormat="1" ht="54" x14ac:dyDescent="0.25">
      <c r="A442" s="21">
        <v>431</v>
      </c>
      <c r="B442" s="13" t="s">
        <v>701</v>
      </c>
      <c r="C442" s="26"/>
      <c r="D442" s="11" t="s">
        <v>12</v>
      </c>
      <c r="E442" s="36">
        <v>2</v>
      </c>
      <c r="F442" s="11"/>
      <c r="G442" s="11"/>
      <c r="H442" s="11"/>
      <c r="I442" s="11"/>
      <c r="J442" s="12" t="s">
        <v>13</v>
      </c>
      <c r="K442" s="13" t="s">
        <v>702</v>
      </c>
    </row>
    <row r="443" spans="1:11" s="14" customFormat="1" ht="36" x14ac:dyDescent="0.25">
      <c r="A443" s="21">
        <v>432</v>
      </c>
      <c r="B443" s="13" t="s">
        <v>703</v>
      </c>
      <c r="C443" s="26"/>
      <c r="D443" s="11" t="s">
        <v>12</v>
      </c>
      <c r="E443" s="36">
        <v>1</v>
      </c>
      <c r="F443" s="11"/>
      <c r="G443" s="11"/>
      <c r="H443" s="11"/>
      <c r="I443" s="11"/>
      <c r="J443" s="12" t="s">
        <v>13</v>
      </c>
      <c r="K443" s="13" t="s">
        <v>704</v>
      </c>
    </row>
    <row r="444" spans="1:11" s="14" customFormat="1" ht="54" x14ac:dyDescent="0.25">
      <c r="A444" s="21">
        <v>433</v>
      </c>
      <c r="B444" s="13" t="s">
        <v>705</v>
      </c>
      <c r="C444" s="26"/>
      <c r="D444" s="11"/>
      <c r="E444" s="36">
        <v>2</v>
      </c>
      <c r="F444" s="11"/>
      <c r="G444" s="11"/>
      <c r="H444" s="11"/>
      <c r="I444" s="11"/>
      <c r="J444" s="12" t="s">
        <v>13</v>
      </c>
      <c r="K444" s="13" t="s">
        <v>706</v>
      </c>
    </row>
    <row r="445" spans="1:11" s="14" customFormat="1" ht="36" x14ac:dyDescent="0.25">
      <c r="A445" s="21">
        <v>434</v>
      </c>
      <c r="B445" s="13" t="s">
        <v>707</v>
      </c>
      <c r="C445" s="26"/>
      <c r="D445" s="11"/>
      <c r="E445" s="36">
        <v>2</v>
      </c>
      <c r="F445" s="11"/>
      <c r="G445" s="11"/>
      <c r="H445" s="11"/>
      <c r="I445" s="11"/>
      <c r="J445" s="12" t="s">
        <v>13</v>
      </c>
      <c r="K445" s="13" t="s">
        <v>708</v>
      </c>
    </row>
    <row r="446" spans="1:11" s="14" customFormat="1" ht="36" x14ac:dyDescent="0.25">
      <c r="A446" s="21">
        <v>435</v>
      </c>
      <c r="B446" s="13" t="s">
        <v>709</v>
      </c>
      <c r="C446" s="26"/>
      <c r="D446" s="11" t="s">
        <v>12</v>
      </c>
      <c r="E446" s="36">
        <v>1</v>
      </c>
      <c r="F446" s="11"/>
      <c r="G446" s="11"/>
      <c r="H446" s="11"/>
      <c r="I446" s="11"/>
      <c r="J446" s="12" t="s">
        <v>13</v>
      </c>
      <c r="K446" s="13" t="s">
        <v>710</v>
      </c>
    </row>
    <row r="447" spans="1:11" s="14" customFormat="1" ht="18" x14ac:dyDescent="0.25">
      <c r="A447" s="21">
        <v>436</v>
      </c>
      <c r="B447" s="13" t="s">
        <v>711</v>
      </c>
      <c r="C447" s="26"/>
      <c r="D447" s="11" t="s">
        <v>12</v>
      </c>
      <c r="E447" s="36">
        <v>1</v>
      </c>
      <c r="F447" s="11"/>
      <c r="G447" s="11"/>
      <c r="H447" s="11"/>
      <c r="I447" s="11"/>
      <c r="J447" s="12" t="s">
        <v>13</v>
      </c>
      <c r="K447" s="13" t="s">
        <v>712</v>
      </c>
    </row>
    <row r="448" spans="1:11" s="14" customFormat="1" ht="36" x14ac:dyDescent="0.25">
      <c r="A448" s="21">
        <v>437</v>
      </c>
      <c r="B448" s="13" t="s">
        <v>713</v>
      </c>
      <c r="C448" s="26"/>
      <c r="D448" s="11" t="s">
        <v>12</v>
      </c>
      <c r="E448" s="36">
        <v>1</v>
      </c>
      <c r="F448" s="11"/>
      <c r="G448" s="11"/>
      <c r="H448" s="11"/>
      <c r="I448" s="11"/>
      <c r="J448" s="12" t="s">
        <v>13</v>
      </c>
      <c r="K448" s="13" t="s">
        <v>714</v>
      </c>
    </row>
    <row r="449" spans="1:11" s="14" customFormat="1" ht="36" x14ac:dyDescent="0.25">
      <c r="A449" s="21">
        <v>438</v>
      </c>
      <c r="B449" s="13" t="s">
        <v>715</v>
      </c>
      <c r="C449" s="26"/>
      <c r="D449" s="11" t="s">
        <v>12</v>
      </c>
      <c r="E449" s="36">
        <v>1</v>
      </c>
      <c r="F449" s="11"/>
      <c r="G449" s="11"/>
      <c r="H449" s="11"/>
      <c r="I449" s="11"/>
      <c r="J449" s="12" t="s">
        <v>13</v>
      </c>
      <c r="K449" s="13" t="s">
        <v>716</v>
      </c>
    </row>
    <row r="450" spans="1:11" s="14" customFormat="1" ht="54" x14ac:dyDescent="0.25">
      <c r="A450" s="21">
        <v>439</v>
      </c>
      <c r="B450" s="13" t="s">
        <v>717</v>
      </c>
      <c r="C450" s="26"/>
      <c r="D450" s="11" t="s">
        <v>12</v>
      </c>
      <c r="E450" s="36">
        <v>1</v>
      </c>
      <c r="F450" s="11"/>
      <c r="G450" s="11"/>
      <c r="H450" s="11"/>
      <c r="I450" s="11"/>
      <c r="J450" s="12" t="s">
        <v>13</v>
      </c>
      <c r="K450" s="13" t="s">
        <v>718</v>
      </c>
    </row>
    <row r="451" spans="1:11" s="14" customFormat="1" ht="54" x14ac:dyDescent="0.25">
      <c r="A451" s="21">
        <v>440</v>
      </c>
      <c r="B451" s="13" t="s">
        <v>719</v>
      </c>
      <c r="C451" s="26"/>
      <c r="D451" s="11" t="s">
        <v>12</v>
      </c>
      <c r="E451" s="36">
        <v>1</v>
      </c>
      <c r="F451" s="11"/>
      <c r="G451" s="11"/>
      <c r="H451" s="11"/>
      <c r="I451" s="11"/>
      <c r="J451" s="12" t="s">
        <v>13</v>
      </c>
      <c r="K451" s="13" t="s">
        <v>720</v>
      </c>
    </row>
    <row r="452" spans="1:11" s="14" customFormat="1" ht="36" x14ac:dyDescent="0.25">
      <c r="A452" s="21">
        <v>441</v>
      </c>
      <c r="B452" s="13" t="s">
        <v>721</v>
      </c>
      <c r="C452" s="26"/>
      <c r="D452" s="11" t="s">
        <v>12</v>
      </c>
      <c r="E452" s="36">
        <v>1</v>
      </c>
      <c r="F452" s="11"/>
      <c r="G452" s="11"/>
      <c r="H452" s="11"/>
      <c r="I452" s="11"/>
      <c r="J452" s="12" t="s">
        <v>13</v>
      </c>
      <c r="K452" s="13" t="s">
        <v>722</v>
      </c>
    </row>
    <row r="453" spans="1:11" s="14" customFormat="1" ht="36" x14ac:dyDescent="0.25">
      <c r="A453" s="21">
        <v>442</v>
      </c>
      <c r="B453" s="13" t="s">
        <v>723</v>
      </c>
      <c r="C453" s="26"/>
      <c r="D453" s="11" t="s">
        <v>12</v>
      </c>
      <c r="E453" s="36">
        <v>1</v>
      </c>
      <c r="F453" s="11"/>
      <c r="G453" s="11"/>
      <c r="H453" s="11"/>
      <c r="I453" s="11"/>
      <c r="J453" s="12" t="s">
        <v>13</v>
      </c>
      <c r="K453" s="13" t="s">
        <v>724</v>
      </c>
    </row>
    <row r="454" spans="1:11" s="14" customFormat="1" ht="36" x14ac:dyDescent="0.25">
      <c r="A454" s="21">
        <v>443</v>
      </c>
      <c r="B454" s="13" t="s">
        <v>725</v>
      </c>
      <c r="C454" s="26"/>
      <c r="D454" s="11" t="s">
        <v>12</v>
      </c>
      <c r="E454" s="36">
        <v>1</v>
      </c>
      <c r="F454" s="11"/>
      <c r="G454" s="11"/>
      <c r="H454" s="11"/>
      <c r="I454" s="11"/>
      <c r="J454" s="12" t="s">
        <v>13</v>
      </c>
      <c r="K454" s="13" t="s">
        <v>726</v>
      </c>
    </row>
    <row r="455" spans="1:11" s="14" customFormat="1" ht="72" x14ac:dyDescent="0.25">
      <c r="A455" s="21">
        <v>444</v>
      </c>
      <c r="B455" s="13" t="s">
        <v>727</v>
      </c>
      <c r="C455" s="26"/>
      <c r="D455" s="11" t="s">
        <v>16</v>
      </c>
      <c r="E455" s="36">
        <v>1</v>
      </c>
      <c r="F455" s="11"/>
      <c r="G455" s="11"/>
      <c r="H455" s="11"/>
      <c r="I455" s="11"/>
      <c r="J455" s="12" t="s">
        <v>13</v>
      </c>
      <c r="K455" s="13" t="s">
        <v>728</v>
      </c>
    </row>
    <row r="456" spans="1:11" s="14" customFormat="1" ht="54" x14ac:dyDescent="0.25">
      <c r="A456" s="21">
        <v>445</v>
      </c>
      <c r="B456" s="13" t="s">
        <v>729</v>
      </c>
      <c r="C456" s="26"/>
      <c r="D456" s="11" t="s">
        <v>12</v>
      </c>
      <c r="E456" s="36">
        <v>1</v>
      </c>
      <c r="F456" s="11"/>
      <c r="G456" s="11"/>
      <c r="H456" s="11"/>
      <c r="I456" s="11"/>
      <c r="J456" s="12" t="s">
        <v>13</v>
      </c>
      <c r="K456" s="13" t="s">
        <v>730</v>
      </c>
    </row>
    <row r="457" spans="1:11" s="14" customFormat="1" ht="54" x14ac:dyDescent="0.25">
      <c r="A457" s="21">
        <v>446</v>
      </c>
      <c r="B457" s="13" t="s">
        <v>731</v>
      </c>
      <c r="C457" s="26"/>
      <c r="D457" s="11" t="s">
        <v>16</v>
      </c>
      <c r="E457" s="36">
        <v>1</v>
      </c>
      <c r="F457" s="11"/>
      <c r="G457" s="11"/>
      <c r="H457" s="11"/>
      <c r="I457" s="11"/>
      <c r="J457" s="12" t="s">
        <v>13</v>
      </c>
      <c r="K457" s="13" t="s">
        <v>732</v>
      </c>
    </row>
    <row r="458" spans="1:11" s="14" customFormat="1" ht="54" x14ac:dyDescent="0.25">
      <c r="A458" s="21">
        <v>447</v>
      </c>
      <c r="B458" s="13" t="s">
        <v>733</v>
      </c>
      <c r="C458" s="26"/>
      <c r="D458" s="11" t="s">
        <v>16</v>
      </c>
      <c r="E458" s="36">
        <v>1</v>
      </c>
      <c r="F458" s="11"/>
      <c r="G458" s="11"/>
      <c r="H458" s="11"/>
      <c r="I458" s="11"/>
      <c r="J458" s="12" t="s">
        <v>13</v>
      </c>
      <c r="K458" s="13" t="s">
        <v>734</v>
      </c>
    </row>
    <row r="459" spans="1:11" s="14" customFormat="1" ht="54" x14ac:dyDescent="0.25">
      <c r="A459" s="21">
        <v>448</v>
      </c>
      <c r="B459" s="13" t="s">
        <v>735</v>
      </c>
      <c r="C459" s="26"/>
      <c r="D459" s="11" t="s">
        <v>16</v>
      </c>
      <c r="E459" s="36">
        <v>1</v>
      </c>
      <c r="F459" s="11"/>
      <c r="G459" s="11"/>
      <c r="H459" s="11"/>
      <c r="I459" s="11"/>
      <c r="J459" s="12" t="s">
        <v>13</v>
      </c>
      <c r="K459" s="13" t="s">
        <v>736</v>
      </c>
    </row>
    <row r="460" spans="1:11" s="14" customFormat="1" ht="72" x14ac:dyDescent="0.25">
      <c r="A460" s="21">
        <v>449</v>
      </c>
      <c r="B460" s="13" t="s">
        <v>737</v>
      </c>
      <c r="C460" s="26"/>
      <c r="D460" s="11" t="s">
        <v>16</v>
      </c>
      <c r="E460" s="36">
        <v>1</v>
      </c>
      <c r="F460" s="11"/>
      <c r="G460" s="11"/>
      <c r="H460" s="11"/>
      <c r="I460" s="11"/>
      <c r="J460" s="12" t="s">
        <v>13</v>
      </c>
      <c r="K460" s="13" t="s">
        <v>738</v>
      </c>
    </row>
    <row r="461" spans="1:11" s="14" customFormat="1" ht="54" x14ac:dyDescent="0.25">
      <c r="A461" s="21">
        <v>450</v>
      </c>
      <c r="B461" s="13" t="s">
        <v>739</v>
      </c>
      <c r="C461" s="26"/>
      <c r="D461" s="11" t="s">
        <v>16</v>
      </c>
      <c r="E461" s="36">
        <v>1</v>
      </c>
      <c r="F461" s="11"/>
      <c r="G461" s="11"/>
      <c r="H461" s="11"/>
      <c r="I461" s="11"/>
      <c r="J461" s="12" t="s">
        <v>13</v>
      </c>
      <c r="K461" s="13" t="s">
        <v>740</v>
      </c>
    </row>
    <row r="462" spans="1:11" s="14" customFormat="1" ht="36" x14ac:dyDescent="0.25">
      <c r="A462" s="21">
        <v>451</v>
      </c>
      <c r="B462" s="13" t="s">
        <v>741</v>
      </c>
      <c r="C462" s="26"/>
      <c r="D462" s="11" t="s">
        <v>12</v>
      </c>
      <c r="E462" s="36">
        <v>3</v>
      </c>
      <c r="F462" s="11"/>
      <c r="G462" s="11"/>
      <c r="H462" s="11"/>
      <c r="I462" s="11"/>
      <c r="J462" s="12" t="s">
        <v>13</v>
      </c>
      <c r="K462" s="13" t="s">
        <v>742</v>
      </c>
    </row>
    <row r="463" spans="1:11" s="14" customFormat="1" ht="90" x14ac:dyDescent="0.25">
      <c r="A463" s="21">
        <v>452</v>
      </c>
      <c r="B463" s="13" t="s">
        <v>743</v>
      </c>
      <c r="C463" s="26"/>
      <c r="D463" s="11" t="s">
        <v>16</v>
      </c>
      <c r="E463" s="36">
        <v>1</v>
      </c>
      <c r="F463" s="11"/>
      <c r="G463" s="11"/>
      <c r="H463" s="11"/>
      <c r="I463" s="11"/>
      <c r="J463" s="12" t="s">
        <v>13</v>
      </c>
      <c r="K463" s="13" t="s">
        <v>26</v>
      </c>
    </row>
    <row r="464" spans="1:11" s="14" customFormat="1" ht="216" x14ac:dyDescent="0.25">
      <c r="A464" s="21">
        <v>453</v>
      </c>
      <c r="B464" s="13" t="s">
        <v>744</v>
      </c>
      <c r="C464" s="26"/>
      <c r="D464" s="11" t="s">
        <v>12</v>
      </c>
      <c r="E464" s="36">
        <v>1</v>
      </c>
      <c r="F464" s="11"/>
      <c r="G464" s="11"/>
      <c r="H464" s="11"/>
      <c r="I464" s="11"/>
      <c r="J464" s="12" t="s">
        <v>13</v>
      </c>
      <c r="K464" s="13" t="s">
        <v>745</v>
      </c>
    </row>
    <row r="465" spans="1:11" s="14" customFormat="1" ht="216" x14ac:dyDescent="0.25">
      <c r="A465" s="21">
        <v>454</v>
      </c>
      <c r="B465" s="13" t="s">
        <v>746</v>
      </c>
      <c r="C465" s="26"/>
      <c r="D465" s="11" t="s">
        <v>12</v>
      </c>
      <c r="E465" s="36">
        <v>1</v>
      </c>
      <c r="F465" s="11"/>
      <c r="G465" s="11"/>
      <c r="H465" s="11"/>
      <c r="I465" s="11"/>
      <c r="J465" s="12" t="s">
        <v>13</v>
      </c>
      <c r="K465" s="13" t="s">
        <v>747</v>
      </c>
    </row>
    <row r="466" spans="1:11" s="14" customFormat="1" ht="216" x14ac:dyDescent="0.25">
      <c r="A466" s="21">
        <v>455</v>
      </c>
      <c r="B466" s="13" t="s">
        <v>748</v>
      </c>
      <c r="C466" s="26"/>
      <c r="D466" s="11" t="s">
        <v>12</v>
      </c>
      <c r="E466" s="36">
        <v>1</v>
      </c>
      <c r="F466" s="11"/>
      <c r="G466" s="11"/>
      <c r="H466" s="11"/>
      <c r="I466" s="11"/>
      <c r="J466" s="12" t="s">
        <v>13</v>
      </c>
      <c r="K466" s="13" t="s">
        <v>749</v>
      </c>
    </row>
    <row r="467" spans="1:11" s="14" customFormat="1" ht="36" x14ac:dyDescent="0.25">
      <c r="A467" s="21">
        <v>456</v>
      </c>
      <c r="B467" s="13" t="s">
        <v>750</v>
      </c>
      <c r="C467" s="26"/>
      <c r="D467" s="11" t="s">
        <v>12</v>
      </c>
      <c r="E467" s="36">
        <v>1</v>
      </c>
      <c r="F467" s="11">
        <v>2</v>
      </c>
      <c r="G467" s="11" t="s">
        <v>21</v>
      </c>
      <c r="H467" s="22">
        <v>46041</v>
      </c>
      <c r="I467" s="22">
        <v>46064</v>
      </c>
      <c r="J467" s="12" t="s">
        <v>22</v>
      </c>
      <c r="K467" s="13" t="s">
        <v>751</v>
      </c>
    </row>
    <row r="468" spans="1:11" s="14" customFormat="1" ht="54" x14ac:dyDescent="0.25">
      <c r="A468" s="21">
        <v>457</v>
      </c>
      <c r="B468" s="13" t="s">
        <v>752</v>
      </c>
      <c r="C468" s="26"/>
      <c r="D468" s="11" t="s">
        <v>12</v>
      </c>
      <c r="E468" s="36">
        <v>1</v>
      </c>
      <c r="F468" s="11">
        <v>1.5</v>
      </c>
      <c r="G468" s="11" t="s">
        <v>21</v>
      </c>
      <c r="H468" s="22">
        <v>46042</v>
      </c>
      <c r="I468" s="22">
        <v>46052</v>
      </c>
      <c r="J468" s="12" t="s">
        <v>22</v>
      </c>
      <c r="K468" s="13" t="s">
        <v>753</v>
      </c>
    </row>
    <row r="469" spans="1:11" s="14" customFormat="1" ht="54" x14ac:dyDescent="0.25">
      <c r="A469" s="21">
        <v>458</v>
      </c>
      <c r="B469" s="13" t="s">
        <v>754</v>
      </c>
      <c r="C469" s="26"/>
      <c r="D469" s="11" t="s">
        <v>12</v>
      </c>
      <c r="E469" s="36">
        <v>1</v>
      </c>
      <c r="F469" s="11">
        <v>1.5</v>
      </c>
      <c r="G469" s="11" t="s">
        <v>25</v>
      </c>
      <c r="H469" s="22">
        <v>46038</v>
      </c>
      <c r="I469" s="22">
        <v>46071</v>
      </c>
      <c r="J469" s="12" t="s">
        <v>22</v>
      </c>
      <c r="K469" s="13" t="s">
        <v>377</v>
      </c>
    </row>
    <row r="470" spans="1:11" s="14" customFormat="1" ht="90" x14ac:dyDescent="0.25">
      <c r="A470" s="21">
        <v>459</v>
      </c>
      <c r="B470" s="13" t="s">
        <v>755</v>
      </c>
      <c r="C470" s="26"/>
      <c r="D470" s="11" t="s">
        <v>12</v>
      </c>
      <c r="E470" s="36">
        <v>1</v>
      </c>
      <c r="F470" s="11">
        <v>2</v>
      </c>
      <c r="G470" s="11" t="s">
        <v>25</v>
      </c>
      <c r="H470" s="22">
        <v>46031</v>
      </c>
      <c r="I470" s="22">
        <v>46071</v>
      </c>
      <c r="J470" s="12" t="s">
        <v>22</v>
      </c>
      <c r="K470" s="13" t="s">
        <v>756</v>
      </c>
    </row>
    <row r="471" spans="1:11" s="14" customFormat="1" ht="72" x14ac:dyDescent="0.25">
      <c r="A471" s="21">
        <v>460</v>
      </c>
      <c r="B471" s="13" t="s">
        <v>757</v>
      </c>
      <c r="C471" s="26"/>
      <c r="D471" s="11" t="s">
        <v>12</v>
      </c>
      <c r="E471" s="36">
        <v>1</v>
      </c>
      <c r="F471" s="11"/>
      <c r="G471" s="11"/>
      <c r="H471" s="11"/>
      <c r="I471" s="11"/>
      <c r="J471" s="12" t="s">
        <v>13</v>
      </c>
      <c r="K471" s="13" t="s">
        <v>758</v>
      </c>
    </row>
    <row r="472" spans="1:11" s="14" customFormat="1" ht="54" x14ac:dyDescent="0.25">
      <c r="A472" s="21">
        <v>461</v>
      </c>
      <c r="B472" s="13" t="s">
        <v>759</v>
      </c>
      <c r="C472" s="26"/>
      <c r="D472" s="11" t="s">
        <v>12</v>
      </c>
      <c r="E472" s="36">
        <v>1</v>
      </c>
      <c r="F472" s="11">
        <v>1</v>
      </c>
      <c r="G472" s="11" t="s">
        <v>21</v>
      </c>
      <c r="H472" s="22">
        <v>46041</v>
      </c>
      <c r="I472" s="22">
        <v>46041</v>
      </c>
      <c r="J472" s="12" t="s">
        <v>22</v>
      </c>
      <c r="K472" s="13" t="s">
        <v>383</v>
      </c>
    </row>
    <row r="473" spans="1:11" s="14" customFormat="1" ht="54" x14ac:dyDescent="0.25">
      <c r="A473" s="21">
        <v>462</v>
      </c>
      <c r="B473" s="13" t="s">
        <v>760</v>
      </c>
      <c r="C473" s="26"/>
      <c r="D473" s="11" t="s">
        <v>12</v>
      </c>
      <c r="E473" s="36">
        <v>1</v>
      </c>
      <c r="F473" s="11">
        <v>1.5</v>
      </c>
      <c r="G473" s="11" t="s">
        <v>21</v>
      </c>
      <c r="H473" s="22">
        <v>46043</v>
      </c>
      <c r="I473" s="22">
        <v>46043</v>
      </c>
      <c r="J473" s="12" t="s">
        <v>22</v>
      </c>
      <c r="K473" s="13" t="s">
        <v>761</v>
      </c>
    </row>
    <row r="474" spans="1:11" s="14" customFormat="1" ht="54" x14ac:dyDescent="0.25">
      <c r="A474" s="21">
        <v>463</v>
      </c>
      <c r="B474" s="13" t="s">
        <v>762</v>
      </c>
      <c r="C474" s="26"/>
      <c r="D474" s="11" t="s">
        <v>12</v>
      </c>
      <c r="E474" s="36">
        <v>1.8</v>
      </c>
      <c r="F474" s="11"/>
      <c r="G474" s="11"/>
      <c r="H474" s="11"/>
      <c r="I474" s="11"/>
      <c r="J474" s="12" t="s">
        <v>13</v>
      </c>
      <c r="K474" s="13" t="s">
        <v>763</v>
      </c>
    </row>
    <row r="475" spans="1:11" s="14" customFormat="1" ht="54" x14ac:dyDescent="0.25">
      <c r="A475" s="21">
        <v>464</v>
      </c>
      <c r="B475" s="13" t="s">
        <v>764</v>
      </c>
      <c r="C475" s="26"/>
      <c r="D475" s="11" t="s">
        <v>12</v>
      </c>
      <c r="E475" s="36">
        <v>0.9</v>
      </c>
      <c r="F475" s="11"/>
      <c r="G475" s="11"/>
      <c r="H475" s="11"/>
      <c r="I475" s="11"/>
      <c r="J475" s="12" t="s">
        <v>13</v>
      </c>
      <c r="K475" s="13" t="s">
        <v>765</v>
      </c>
    </row>
    <row r="476" spans="1:11" s="14" customFormat="1" ht="90" x14ac:dyDescent="0.25">
      <c r="A476" s="21">
        <v>465</v>
      </c>
      <c r="B476" s="13" t="s">
        <v>766</v>
      </c>
      <c r="C476" s="26"/>
      <c r="D476" s="11" t="s">
        <v>12</v>
      </c>
      <c r="E476" s="36">
        <v>1</v>
      </c>
      <c r="F476" s="11">
        <v>1</v>
      </c>
      <c r="G476" s="11" t="s">
        <v>21</v>
      </c>
      <c r="H476" s="22">
        <v>46036</v>
      </c>
      <c r="I476" s="22">
        <v>46041</v>
      </c>
      <c r="J476" s="12" t="s">
        <v>22</v>
      </c>
      <c r="K476" s="13" t="s">
        <v>767</v>
      </c>
    </row>
    <row r="477" spans="1:11" s="14" customFormat="1" ht="90" x14ac:dyDescent="0.25">
      <c r="A477" s="21">
        <v>466</v>
      </c>
      <c r="B477" s="13" t="s">
        <v>768</v>
      </c>
      <c r="C477" s="26"/>
      <c r="D477" s="11" t="s">
        <v>12</v>
      </c>
      <c r="E477" s="36">
        <v>1</v>
      </c>
      <c r="F477" s="11">
        <v>1</v>
      </c>
      <c r="G477" s="11" t="s">
        <v>21</v>
      </c>
      <c r="H477" s="22">
        <v>46036</v>
      </c>
      <c r="I477" s="22">
        <v>46041</v>
      </c>
      <c r="J477" s="12" t="s">
        <v>22</v>
      </c>
      <c r="K477" s="13" t="s">
        <v>769</v>
      </c>
    </row>
    <row r="478" spans="1:11" s="14" customFormat="1" ht="72" x14ac:dyDescent="0.25">
      <c r="A478" s="21">
        <v>467</v>
      </c>
      <c r="B478" s="13" t="s">
        <v>770</v>
      </c>
      <c r="C478" s="26"/>
      <c r="D478" s="11" t="s">
        <v>12</v>
      </c>
      <c r="E478" s="36">
        <v>0.8</v>
      </c>
      <c r="F478" s="11">
        <v>1</v>
      </c>
      <c r="G478" s="11" t="s">
        <v>21</v>
      </c>
      <c r="H478" s="22">
        <v>46036</v>
      </c>
      <c r="I478" s="22">
        <v>46041</v>
      </c>
      <c r="J478" s="12" t="s">
        <v>22</v>
      </c>
      <c r="K478" s="13" t="s">
        <v>771</v>
      </c>
    </row>
    <row r="479" spans="1:11" s="14" customFormat="1" ht="72" x14ac:dyDescent="0.25">
      <c r="A479" s="21">
        <v>468</v>
      </c>
      <c r="B479" s="13" t="s">
        <v>770</v>
      </c>
      <c r="C479" s="26"/>
      <c r="D479" s="11" t="s">
        <v>12</v>
      </c>
      <c r="E479" s="36">
        <v>0.8</v>
      </c>
      <c r="F479" s="11">
        <v>0.8</v>
      </c>
      <c r="G479" s="11" t="s">
        <v>21</v>
      </c>
      <c r="H479" s="22">
        <v>46036</v>
      </c>
      <c r="I479" s="22">
        <v>46041</v>
      </c>
      <c r="J479" s="12" t="s">
        <v>22</v>
      </c>
      <c r="K479" s="13" t="s">
        <v>771</v>
      </c>
    </row>
    <row r="480" spans="1:11" s="14" customFormat="1" ht="90" x14ac:dyDescent="0.25">
      <c r="A480" s="21">
        <v>469</v>
      </c>
      <c r="B480" s="13" t="s">
        <v>772</v>
      </c>
      <c r="C480" s="26"/>
      <c r="D480" s="11" t="s">
        <v>12</v>
      </c>
      <c r="E480" s="36">
        <v>1</v>
      </c>
      <c r="F480" s="11">
        <v>1</v>
      </c>
      <c r="G480" s="11" t="s">
        <v>21</v>
      </c>
      <c r="H480" s="22">
        <v>46077</v>
      </c>
      <c r="I480" s="22">
        <v>46078</v>
      </c>
      <c r="J480" s="12" t="s">
        <v>22</v>
      </c>
      <c r="K480" s="13" t="s">
        <v>773</v>
      </c>
    </row>
    <row r="481" spans="1:11" s="14" customFormat="1" ht="90" x14ac:dyDescent="0.25">
      <c r="A481" s="21">
        <v>470</v>
      </c>
      <c r="B481" s="13" t="s">
        <v>774</v>
      </c>
      <c r="C481" s="26"/>
      <c r="D481" s="11" t="s">
        <v>12</v>
      </c>
      <c r="E481" s="36">
        <v>1</v>
      </c>
      <c r="F481" s="11">
        <v>1</v>
      </c>
      <c r="G481" s="11" t="s">
        <v>163</v>
      </c>
      <c r="H481" s="22">
        <v>46048</v>
      </c>
      <c r="I481" s="22">
        <v>46070</v>
      </c>
      <c r="J481" s="12" t="s">
        <v>22</v>
      </c>
      <c r="K481" s="13" t="s">
        <v>775</v>
      </c>
    </row>
    <row r="482" spans="1:11" s="14" customFormat="1" ht="180" x14ac:dyDescent="0.25">
      <c r="A482" s="21">
        <v>471</v>
      </c>
      <c r="B482" s="13" t="s">
        <v>776</v>
      </c>
      <c r="C482" s="26"/>
      <c r="D482" s="11" t="s">
        <v>12</v>
      </c>
      <c r="E482" s="36">
        <v>1</v>
      </c>
      <c r="F482" s="11"/>
      <c r="G482" s="11"/>
      <c r="H482" s="11"/>
      <c r="I482" s="11"/>
      <c r="J482" s="12" t="s">
        <v>13</v>
      </c>
      <c r="K482" s="13" t="s">
        <v>777</v>
      </c>
    </row>
    <row r="483" spans="1:11" s="14" customFormat="1" ht="54" x14ac:dyDescent="0.25">
      <c r="A483" s="21">
        <v>472</v>
      </c>
      <c r="B483" s="13" t="s">
        <v>778</v>
      </c>
      <c r="C483" s="26"/>
      <c r="D483" s="11" t="s">
        <v>12</v>
      </c>
      <c r="E483" s="36">
        <v>1</v>
      </c>
      <c r="F483" s="11">
        <v>1</v>
      </c>
      <c r="G483" s="11" t="s">
        <v>21</v>
      </c>
      <c r="H483" s="22">
        <v>46077</v>
      </c>
      <c r="I483" s="22">
        <v>46078</v>
      </c>
      <c r="J483" s="12" t="s">
        <v>22</v>
      </c>
      <c r="K483" s="13" t="s">
        <v>779</v>
      </c>
    </row>
    <row r="484" spans="1:11" s="14" customFormat="1" ht="54" x14ac:dyDescent="0.25">
      <c r="A484" s="21">
        <v>473</v>
      </c>
      <c r="B484" s="13" t="s">
        <v>780</v>
      </c>
      <c r="C484" s="26"/>
      <c r="D484" s="11" t="s">
        <v>12</v>
      </c>
      <c r="E484" s="36">
        <v>1</v>
      </c>
      <c r="F484" s="11">
        <v>1</v>
      </c>
      <c r="G484" s="11" t="s">
        <v>21</v>
      </c>
      <c r="H484" s="22">
        <v>46055</v>
      </c>
      <c r="I484" s="22">
        <v>46070</v>
      </c>
      <c r="J484" s="12" t="s">
        <v>22</v>
      </c>
      <c r="K484" s="13" t="s">
        <v>781</v>
      </c>
    </row>
    <row r="485" spans="1:11" s="14" customFormat="1" ht="144" x14ac:dyDescent="0.25">
      <c r="A485" s="21">
        <v>474</v>
      </c>
      <c r="B485" s="13" t="s">
        <v>782</v>
      </c>
      <c r="C485" s="26"/>
      <c r="D485" s="11" t="s">
        <v>12</v>
      </c>
      <c r="E485" s="36">
        <v>1</v>
      </c>
      <c r="F485" s="11"/>
      <c r="G485" s="11"/>
      <c r="H485" s="11"/>
      <c r="I485" s="11"/>
      <c r="J485" s="12" t="s">
        <v>13</v>
      </c>
      <c r="K485" s="13" t="s">
        <v>775</v>
      </c>
    </row>
    <row r="486" spans="1:11" s="14" customFormat="1" ht="144" x14ac:dyDescent="0.25">
      <c r="A486" s="21">
        <v>475</v>
      </c>
      <c r="B486" s="13" t="s">
        <v>783</v>
      </c>
      <c r="C486" s="26"/>
      <c r="D486" s="11" t="s">
        <v>12</v>
      </c>
      <c r="E486" s="36">
        <v>0.95</v>
      </c>
      <c r="F486" s="11"/>
      <c r="G486" s="11"/>
      <c r="H486" s="11"/>
      <c r="I486" s="11"/>
      <c r="J486" s="12" t="s">
        <v>13</v>
      </c>
      <c r="K486" s="13" t="s">
        <v>784</v>
      </c>
    </row>
    <row r="487" spans="1:11" s="14" customFormat="1" ht="126" x14ac:dyDescent="0.25">
      <c r="A487" s="21">
        <v>476</v>
      </c>
      <c r="B487" s="13" t="s">
        <v>785</v>
      </c>
      <c r="C487" s="26"/>
      <c r="D487" s="11" t="s">
        <v>12</v>
      </c>
      <c r="E487" s="36">
        <v>1</v>
      </c>
      <c r="F487" s="11"/>
      <c r="G487" s="11"/>
      <c r="H487" s="11"/>
      <c r="I487" s="11"/>
      <c r="J487" s="12" t="s">
        <v>13</v>
      </c>
      <c r="K487" s="13" t="s">
        <v>786</v>
      </c>
    </row>
    <row r="488" spans="1:11" s="14" customFormat="1" ht="180" x14ac:dyDescent="0.25">
      <c r="A488" s="21">
        <v>477</v>
      </c>
      <c r="B488" s="13" t="s">
        <v>787</v>
      </c>
      <c r="C488" s="26"/>
      <c r="D488" s="11" t="s">
        <v>12</v>
      </c>
      <c r="E488" s="36">
        <v>1</v>
      </c>
      <c r="F488" s="11"/>
      <c r="G488" s="11"/>
      <c r="H488" s="11"/>
      <c r="I488" s="11"/>
      <c r="J488" s="12" t="s">
        <v>13</v>
      </c>
      <c r="K488" s="13" t="s">
        <v>788</v>
      </c>
    </row>
    <row r="489" spans="1:11" s="14" customFormat="1" ht="144" x14ac:dyDescent="0.25">
      <c r="A489" s="21">
        <v>478</v>
      </c>
      <c r="B489" s="13" t="s">
        <v>789</v>
      </c>
      <c r="C489" s="26"/>
      <c r="D489" s="11" t="s">
        <v>12</v>
      </c>
      <c r="E489" s="36">
        <v>1</v>
      </c>
      <c r="F489" s="11">
        <v>1.5</v>
      </c>
      <c r="G489" s="11" t="s">
        <v>436</v>
      </c>
      <c r="H489" s="22">
        <v>46056</v>
      </c>
      <c r="I489" s="22">
        <v>46071</v>
      </c>
      <c r="J489" s="12" t="s">
        <v>22</v>
      </c>
      <c r="K489" s="13" t="s">
        <v>790</v>
      </c>
    </row>
    <row r="490" spans="1:11" s="14" customFormat="1" ht="90" x14ac:dyDescent="0.25">
      <c r="A490" s="21">
        <v>479</v>
      </c>
      <c r="B490" s="13" t="s">
        <v>791</v>
      </c>
      <c r="C490" s="26"/>
      <c r="D490" s="11" t="s">
        <v>12</v>
      </c>
      <c r="E490" s="36">
        <v>1</v>
      </c>
      <c r="F490" s="11">
        <v>1</v>
      </c>
      <c r="G490" s="11" t="s">
        <v>163</v>
      </c>
      <c r="H490" s="22">
        <v>46064</v>
      </c>
      <c r="I490" s="22">
        <v>46070</v>
      </c>
      <c r="J490" s="12" t="s">
        <v>22</v>
      </c>
      <c r="K490" s="13" t="s">
        <v>792</v>
      </c>
    </row>
    <row r="491" spans="1:11" s="14" customFormat="1" ht="72" x14ac:dyDescent="0.25">
      <c r="A491" s="21">
        <v>480</v>
      </c>
      <c r="B491" s="13" t="s">
        <v>793</v>
      </c>
      <c r="C491" s="26"/>
      <c r="D491" s="11" t="s">
        <v>12</v>
      </c>
      <c r="E491" s="36">
        <v>1</v>
      </c>
      <c r="F491" s="11"/>
      <c r="G491" s="11"/>
      <c r="H491" s="11"/>
      <c r="I491" s="11"/>
      <c r="J491" s="12" t="s">
        <v>13</v>
      </c>
      <c r="K491" s="13" t="s">
        <v>794</v>
      </c>
    </row>
    <row r="492" spans="1:11" s="14" customFormat="1" ht="72" x14ac:dyDescent="0.25">
      <c r="A492" s="21">
        <v>481</v>
      </c>
      <c r="B492" s="13" t="s">
        <v>795</v>
      </c>
      <c r="C492" s="26"/>
      <c r="D492" s="11" t="s">
        <v>12</v>
      </c>
      <c r="E492" s="36">
        <v>1</v>
      </c>
      <c r="F492" s="11">
        <v>1</v>
      </c>
      <c r="G492" s="11" t="s">
        <v>21</v>
      </c>
      <c r="H492" s="22">
        <v>46036</v>
      </c>
      <c r="I492" s="22">
        <v>46041</v>
      </c>
      <c r="J492" s="12" t="s">
        <v>22</v>
      </c>
      <c r="K492" s="13" t="s">
        <v>796</v>
      </c>
    </row>
    <row r="493" spans="1:11" s="14" customFormat="1" ht="72" x14ac:dyDescent="0.25">
      <c r="A493" s="21">
        <v>482</v>
      </c>
      <c r="B493" s="13" t="s">
        <v>797</v>
      </c>
      <c r="C493" s="26"/>
      <c r="D493" s="11" t="s">
        <v>12</v>
      </c>
      <c r="E493" s="36">
        <v>1</v>
      </c>
      <c r="F493" s="11">
        <v>1</v>
      </c>
      <c r="G493" s="11" t="s">
        <v>21</v>
      </c>
      <c r="H493" s="22">
        <v>46056</v>
      </c>
      <c r="I493" s="22">
        <v>46070</v>
      </c>
      <c r="J493" s="12" t="s">
        <v>22</v>
      </c>
      <c r="K493" s="13" t="s">
        <v>798</v>
      </c>
    </row>
    <row r="494" spans="1:11" s="14" customFormat="1" ht="126" x14ac:dyDescent="0.25">
      <c r="A494" s="21">
        <v>483</v>
      </c>
      <c r="B494" s="13" t="s">
        <v>799</v>
      </c>
      <c r="C494" s="26"/>
      <c r="D494" s="11" t="s">
        <v>12</v>
      </c>
      <c r="E494" s="36">
        <v>120</v>
      </c>
      <c r="F494" s="11"/>
      <c r="G494" s="11"/>
      <c r="H494" s="11"/>
      <c r="I494" s="11"/>
      <c r="J494" s="12" t="s">
        <v>13</v>
      </c>
      <c r="K494" s="13" t="s">
        <v>800</v>
      </c>
    </row>
    <row r="495" spans="1:11" s="14" customFormat="1" ht="108" x14ac:dyDescent="0.25">
      <c r="A495" s="21">
        <v>484</v>
      </c>
      <c r="B495" s="13" t="s">
        <v>801</v>
      </c>
      <c r="C495" s="26"/>
      <c r="D495" s="11" t="s">
        <v>12</v>
      </c>
      <c r="E495" s="36">
        <v>120</v>
      </c>
      <c r="F495" s="11"/>
      <c r="G495" s="11"/>
      <c r="H495" s="11"/>
      <c r="I495" s="11"/>
      <c r="J495" s="12" t="s">
        <v>13</v>
      </c>
      <c r="K495" s="13" t="s">
        <v>802</v>
      </c>
    </row>
    <row r="496" spans="1:11" s="14" customFormat="1" ht="198" x14ac:dyDescent="0.25">
      <c r="A496" s="21">
        <v>485</v>
      </c>
      <c r="B496" s="13" t="s">
        <v>803</v>
      </c>
      <c r="C496" s="26"/>
      <c r="D496" s="11" t="s">
        <v>804</v>
      </c>
      <c r="E496" s="36">
        <v>50</v>
      </c>
      <c r="F496" s="11"/>
      <c r="G496" s="11"/>
      <c r="H496" s="11"/>
      <c r="I496" s="11"/>
      <c r="J496" s="12" t="s">
        <v>13</v>
      </c>
      <c r="K496" s="13" t="s">
        <v>805</v>
      </c>
    </row>
    <row r="497" spans="1:11" s="14" customFormat="1" ht="270" x14ac:dyDescent="0.25">
      <c r="A497" s="21">
        <v>486</v>
      </c>
      <c r="B497" s="13" t="s">
        <v>806</v>
      </c>
      <c r="C497" s="26"/>
      <c r="D497" s="11" t="s">
        <v>804</v>
      </c>
      <c r="E497" s="36">
        <v>120</v>
      </c>
      <c r="F497" s="11"/>
      <c r="G497" s="11"/>
      <c r="H497" s="11"/>
      <c r="I497" s="11"/>
      <c r="J497" s="12" t="s">
        <v>13</v>
      </c>
      <c r="K497" s="13" t="s">
        <v>807</v>
      </c>
    </row>
    <row r="498" spans="1:11" s="14" customFormat="1" ht="162" x14ac:dyDescent="0.25">
      <c r="A498" s="21">
        <v>487</v>
      </c>
      <c r="B498" s="13" t="s">
        <v>808</v>
      </c>
      <c r="C498" s="26"/>
      <c r="D498" s="11" t="s">
        <v>12</v>
      </c>
      <c r="E498" s="36">
        <v>1</v>
      </c>
      <c r="F498" s="11">
        <v>3</v>
      </c>
      <c r="G498" s="11" t="s">
        <v>21</v>
      </c>
      <c r="H498" s="22">
        <v>46076</v>
      </c>
      <c r="I498" s="22">
        <v>46078</v>
      </c>
      <c r="J498" s="12" t="s">
        <v>22</v>
      </c>
      <c r="K498" s="13" t="s">
        <v>809</v>
      </c>
    </row>
    <row r="499" spans="1:11" s="14" customFormat="1" ht="234" x14ac:dyDescent="0.25">
      <c r="A499" s="21">
        <v>488</v>
      </c>
      <c r="B499" s="13" t="s">
        <v>810</v>
      </c>
      <c r="C499" s="26"/>
      <c r="D499" s="11" t="s">
        <v>12</v>
      </c>
      <c r="E499" s="36">
        <v>1</v>
      </c>
      <c r="F499" s="11">
        <v>1</v>
      </c>
      <c r="G499" s="11" t="s">
        <v>21</v>
      </c>
      <c r="H499" s="22">
        <v>46055</v>
      </c>
      <c r="I499" s="22">
        <v>46070</v>
      </c>
      <c r="J499" s="12" t="s">
        <v>22</v>
      </c>
      <c r="K499" s="13" t="s">
        <v>811</v>
      </c>
    </row>
    <row r="500" spans="1:11" s="14" customFormat="1" ht="36" x14ac:dyDescent="0.25">
      <c r="A500" s="21">
        <v>489</v>
      </c>
      <c r="B500" s="13" t="s">
        <v>812</v>
      </c>
      <c r="C500" s="26"/>
      <c r="D500" s="11" t="s">
        <v>12</v>
      </c>
      <c r="E500" s="36">
        <v>1</v>
      </c>
      <c r="F500" s="11">
        <v>2</v>
      </c>
      <c r="G500" s="11" t="s">
        <v>21</v>
      </c>
      <c r="H500" s="22">
        <v>46076</v>
      </c>
      <c r="I500" s="22">
        <v>46078</v>
      </c>
      <c r="J500" s="12" t="s">
        <v>22</v>
      </c>
      <c r="K500" s="13" t="s">
        <v>26</v>
      </c>
    </row>
    <row r="501" spans="1:11" s="14" customFormat="1" ht="72" x14ac:dyDescent="0.25">
      <c r="A501" s="21">
        <v>490</v>
      </c>
      <c r="B501" s="13" t="s">
        <v>813</v>
      </c>
      <c r="C501" s="26"/>
      <c r="D501" s="11" t="s">
        <v>12</v>
      </c>
      <c r="E501" s="36">
        <v>0.8</v>
      </c>
      <c r="F501" s="11"/>
      <c r="G501" s="11"/>
      <c r="H501" s="11"/>
      <c r="I501" s="11"/>
      <c r="J501" s="12" t="s">
        <v>13</v>
      </c>
      <c r="K501" s="13" t="s">
        <v>814</v>
      </c>
    </row>
    <row r="502" spans="1:11" s="14" customFormat="1" ht="72" x14ac:dyDescent="0.25">
      <c r="A502" s="21">
        <v>491</v>
      </c>
      <c r="B502" s="13" t="s">
        <v>815</v>
      </c>
      <c r="C502" s="26"/>
      <c r="D502" s="11" t="s">
        <v>12</v>
      </c>
      <c r="E502" s="36">
        <v>0.8</v>
      </c>
      <c r="F502" s="11"/>
      <c r="G502" s="11"/>
      <c r="H502" s="11"/>
      <c r="I502" s="11"/>
      <c r="J502" s="12" t="s">
        <v>13</v>
      </c>
      <c r="K502" s="13" t="s">
        <v>816</v>
      </c>
    </row>
    <row r="503" spans="1:11" s="14" customFormat="1" ht="72" x14ac:dyDescent="0.25">
      <c r="A503" s="21">
        <v>492</v>
      </c>
      <c r="B503" s="13" t="s">
        <v>817</v>
      </c>
      <c r="C503" s="26"/>
      <c r="D503" s="11" t="s">
        <v>12</v>
      </c>
      <c r="E503" s="36">
        <v>0.8</v>
      </c>
      <c r="F503" s="11"/>
      <c r="G503" s="11"/>
      <c r="H503" s="11"/>
      <c r="I503" s="11"/>
      <c r="J503" s="12" t="s">
        <v>13</v>
      </c>
      <c r="K503" s="13" t="s">
        <v>818</v>
      </c>
    </row>
    <row r="504" spans="1:11" s="14" customFormat="1" ht="72" x14ac:dyDescent="0.25">
      <c r="A504" s="21">
        <v>493</v>
      </c>
      <c r="B504" s="13" t="s">
        <v>819</v>
      </c>
      <c r="C504" s="26"/>
      <c r="D504" s="11" t="s">
        <v>12</v>
      </c>
      <c r="E504" s="36">
        <v>0.8</v>
      </c>
      <c r="F504" s="11"/>
      <c r="G504" s="11"/>
      <c r="H504" s="11"/>
      <c r="I504" s="11"/>
      <c r="J504" s="12" t="s">
        <v>13</v>
      </c>
      <c r="K504" s="13" t="s">
        <v>820</v>
      </c>
    </row>
    <row r="505" spans="1:11" s="14" customFormat="1" ht="90" x14ac:dyDescent="0.25">
      <c r="A505" s="21">
        <v>494</v>
      </c>
      <c r="B505" s="13" t="s">
        <v>821</v>
      </c>
      <c r="C505" s="26"/>
      <c r="D505" s="11" t="s">
        <v>12</v>
      </c>
      <c r="E505" s="36">
        <v>0.8</v>
      </c>
      <c r="F505" s="11"/>
      <c r="G505" s="11"/>
      <c r="H505" s="11"/>
      <c r="I505" s="11"/>
      <c r="J505" s="12" t="s">
        <v>13</v>
      </c>
      <c r="K505" s="13" t="s">
        <v>442</v>
      </c>
    </row>
    <row r="506" spans="1:11" s="14" customFormat="1" ht="108" x14ac:dyDescent="0.25">
      <c r="A506" s="21">
        <v>495</v>
      </c>
      <c r="B506" s="13" t="s">
        <v>822</v>
      </c>
      <c r="C506" s="26"/>
      <c r="D506" s="11" t="s">
        <v>12</v>
      </c>
      <c r="E506" s="36">
        <v>0.8</v>
      </c>
      <c r="F506" s="11"/>
      <c r="G506" s="11"/>
      <c r="H506" s="11"/>
      <c r="I506" s="11"/>
      <c r="J506" s="12" t="s">
        <v>13</v>
      </c>
      <c r="K506" s="13" t="s">
        <v>823</v>
      </c>
    </row>
    <row r="507" spans="1:11" s="14" customFormat="1" ht="126" x14ac:dyDescent="0.25">
      <c r="A507" s="21">
        <v>496</v>
      </c>
      <c r="B507" s="13" t="s">
        <v>824</v>
      </c>
      <c r="C507" s="26"/>
      <c r="D507" s="11" t="s">
        <v>12</v>
      </c>
      <c r="E507" s="36">
        <v>0.8</v>
      </c>
      <c r="F507" s="11"/>
      <c r="G507" s="11"/>
      <c r="H507" s="11"/>
      <c r="I507" s="11"/>
      <c r="J507" s="12" t="s">
        <v>13</v>
      </c>
      <c r="K507" s="13" t="s">
        <v>825</v>
      </c>
    </row>
    <row r="508" spans="1:11" s="14" customFormat="1" ht="90" x14ac:dyDescent="0.25">
      <c r="A508" s="21">
        <v>497</v>
      </c>
      <c r="B508" s="13" t="s">
        <v>826</v>
      </c>
      <c r="C508" s="26"/>
      <c r="D508" s="11" t="s">
        <v>12</v>
      </c>
      <c r="E508" s="36">
        <v>0.8</v>
      </c>
      <c r="F508" s="11"/>
      <c r="G508" s="11"/>
      <c r="H508" s="11"/>
      <c r="I508" s="11"/>
      <c r="J508" s="12" t="s">
        <v>13</v>
      </c>
      <c r="K508" s="13" t="s">
        <v>827</v>
      </c>
    </row>
    <row r="509" spans="1:11" s="14" customFormat="1" ht="126" x14ac:dyDescent="0.25">
      <c r="A509" s="21">
        <v>498</v>
      </c>
      <c r="B509" s="13" t="s">
        <v>828</v>
      </c>
      <c r="C509" s="26"/>
      <c r="D509" s="11" t="s">
        <v>12</v>
      </c>
      <c r="E509" s="36">
        <v>0.8</v>
      </c>
      <c r="F509" s="11"/>
      <c r="G509" s="11"/>
      <c r="H509" s="11"/>
      <c r="I509" s="11"/>
      <c r="J509" s="12" t="s">
        <v>13</v>
      </c>
      <c r="K509" s="13" t="s">
        <v>459</v>
      </c>
    </row>
    <row r="510" spans="1:11" s="14" customFormat="1" ht="108" x14ac:dyDescent="0.25">
      <c r="A510" s="21">
        <v>499</v>
      </c>
      <c r="B510" s="13" t="s">
        <v>829</v>
      </c>
      <c r="C510" s="26"/>
      <c r="D510" s="11" t="s">
        <v>12</v>
      </c>
      <c r="E510" s="36">
        <v>0.8</v>
      </c>
      <c r="F510" s="11"/>
      <c r="G510" s="11"/>
      <c r="H510" s="11"/>
      <c r="I510" s="11"/>
      <c r="J510" s="12" t="s">
        <v>13</v>
      </c>
      <c r="K510" s="13" t="s">
        <v>830</v>
      </c>
    </row>
    <row r="511" spans="1:11" s="14" customFormat="1" ht="54" x14ac:dyDescent="0.25">
      <c r="A511" s="21">
        <v>500</v>
      </c>
      <c r="B511" s="13" t="s">
        <v>831</v>
      </c>
      <c r="C511" s="26"/>
      <c r="D511" s="11" t="s">
        <v>12</v>
      </c>
      <c r="E511" s="36">
        <v>1</v>
      </c>
      <c r="F511" s="11"/>
      <c r="G511" s="11"/>
      <c r="H511" s="11"/>
      <c r="I511" s="11"/>
      <c r="J511" s="12" t="s">
        <v>13</v>
      </c>
      <c r="K511" s="13" t="s">
        <v>832</v>
      </c>
    </row>
    <row r="512" spans="1:11" s="14" customFormat="1" ht="54" x14ac:dyDescent="0.25">
      <c r="A512" s="21">
        <v>501</v>
      </c>
      <c r="B512" s="13" t="s">
        <v>833</v>
      </c>
      <c r="C512" s="26"/>
      <c r="D512" s="11" t="s">
        <v>12</v>
      </c>
      <c r="E512" s="36">
        <v>1</v>
      </c>
      <c r="F512" s="11"/>
      <c r="G512" s="11"/>
      <c r="H512" s="11"/>
      <c r="I512" s="11"/>
      <c r="J512" s="12" t="s">
        <v>13</v>
      </c>
      <c r="K512" s="13" t="s">
        <v>834</v>
      </c>
    </row>
    <row r="513" spans="1:11" s="14" customFormat="1" ht="90" x14ac:dyDescent="0.25">
      <c r="A513" s="21">
        <v>502</v>
      </c>
      <c r="B513" s="13" t="s">
        <v>835</v>
      </c>
      <c r="C513" s="26"/>
      <c r="D513" s="11" t="s">
        <v>12</v>
      </c>
      <c r="E513" s="36">
        <v>1</v>
      </c>
      <c r="F513" s="11"/>
      <c r="G513" s="11"/>
      <c r="H513" s="11"/>
      <c r="I513" s="11"/>
      <c r="J513" s="12" t="s">
        <v>13</v>
      </c>
      <c r="K513" s="13" t="s">
        <v>836</v>
      </c>
    </row>
    <row r="514" spans="1:11" s="14" customFormat="1" ht="90" x14ac:dyDescent="0.25">
      <c r="A514" s="21">
        <v>503</v>
      </c>
      <c r="B514" s="13" t="s">
        <v>837</v>
      </c>
      <c r="C514" s="26"/>
      <c r="D514" s="11" t="s">
        <v>12</v>
      </c>
      <c r="E514" s="36">
        <v>1</v>
      </c>
      <c r="F514" s="11"/>
      <c r="G514" s="11"/>
      <c r="H514" s="11"/>
      <c r="I514" s="11"/>
      <c r="J514" s="12" t="s">
        <v>13</v>
      </c>
      <c r="K514" s="13" t="s">
        <v>838</v>
      </c>
    </row>
    <row r="515" spans="1:11" s="14" customFormat="1" ht="126" x14ac:dyDescent="0.25">
      <c r="A515" s="21">
        <v>504</v>
      </c>
      <c r="B515" s="13" t="s">
        <v>839</v>
      </c>
      <c r="C515" s="26"/>
      <c r="D515" s="11" t="s">
        <v>12</v>
      </c>
      <c r="E515" s="36">
        <v>1</v>
      </c>
      <c r="F515" s="11"/>
      <c r="G515" s="11"/>
      <c r="H515" s="11"/>
      <c r="I515" s="11"/>
      <c r="J515" s="12" t="s">
        <v>13</v>
      </c>
      <c r="K515" s="13" t="s">
        <v>840</v>
      </c>
    </row>
    <row r="516" spans="1:11" s="14" customFormat="1" ht="126" x14ac:dyDescent="0.25">
      <c r="A516" s="21">
        <v>505</v>
      </c>
      <c r="B516" s="13" t="s">
        <v>841</v>
      </c>
      <c r="C516" s="26"/>
      <c r="D516" s="11" t="s">
        <v>12</v>
      </c>
      <c r="E516" s="36">
        <v>1</v>
      </c>
      <c r="F516" s="11"/>
      <c r="G516" s="11"/>
      <c r="H516" s="11"/>
      <c r="I516" s="11"/>
      <c r="J516" s="12" t="s">
        <v>13</v>
      </c>
      <c r="K516" s="13" t="s">
        <v>842</v>
      </c>
    </row>
    <row r="517" spans="1:11" s="14" customFormat="1" ht="126" x14ac:dyDescent="0.25">
      <c r="A517" s="21">
        <v>506</v>
      </c>
      <c r="B517" s="13" t="s">
        <v>843</v>
      </c>
      <c r="C517" s="26"/>
      <c r="D517" s="11" t="s">
        <v>12</v>
      </c>
      <c r="E517" s="36">
        <v>1</v>
      </c>
      <c r="F517" s="11">
        <v>1</v>
      </c>
      <c r="G517" s="11" t="s">
        <v>21</v>
      </c>
      <c r="H517" s="22">
        <v>46071</v>
      </c>
      <c r="I517" s="22">
        <v>46071</v>
      </c>
      <c r="J517" s="12" t="s">
        <v>22</v>
      </c>
      <c r="K517" s="13" t="s">
        <v>844</v>
      </c>
    </row>
    <row r="518" spans="1:11" s="14" customFormat="1" ht="126" x14ac:dyDescent="0.25">
      <c r="A518" s="21">
        <v>507</v>
      </c>
      <c r="B518" s="13" t="s">
        <v>845</v>
      </c>
      <c r="C518" s="26"/>
      <c r="D518" s="11" t="s">
        <v>12</v>
      </c>
      <c r="E518" s="36">
        <v>1</v>
      </c>
      <c r="F518" s="11">
        <v>1</v>
      </c>
      <c r="G518" s="11" t="s">
        <v>21</v>
      </c>
      <c r="H518" s="22">
        <v>46071</v>
      </c>
      <c r="I518" s="22">
        <v>46071</v>
      </c>
      <c r="J518" s="12" t="s">
        <v>22</v>
      </c>
      <c r="K518" s="13" t="s">
        <v>846</v>
      </c>
    </row>
    <row r="519" spans="1:11" s="14" customFormat="1" ht="54" x14ac:dyDescent="0.25">
      <c r="A519" s="21">
        <v>508</v>
      </c>
      <c r="B519" s="13" t="s">
        <v>847</v>
      </c>
      <c r="C519" s="26"/>
      <c r="D519" s="11" t="s">
        <v>12</v>
      </c>
      <c r="E519" s="36">
        <v>1</v>
      </c>
      <c r="F519" s="11"/>
      <c r="G519" s="11"/>
      <c r="H519" s="11"/>
      <c r="I519" s="11"/>
      <c r="J519" s="12" t="s">
        <v>13</v>
      </c>
      <c r="K519" s="13" t="s">
        <v>848</v>
      </c>
    </row>
    <row r="520" spans="1:11" s="14" customFormat="1" ht="108" x14ac:dyDescent="0.25">
      <c r="A520" s="21">
        <v>509</v>
      </c>
      <c r="B520" s="13" t="s">
        <v>849</v>
      </c>
      <c r="C520" s="26"/>
      <c r="D520" s="11" t="s">
        <v>12</v>
      </c>
      <c r="E520" s="36">
        <v>1</v>
      </c>
      <c r="F520" s="11">
        <v>1</v>
      </c>
      <c r="G520" s="11" t="s">
        <v>21</v>
      </c>
      <c r="H520" s="22">
        <v>46048</v>
      </c>
      <c r="I520" s="22">
        <v>46052</v>
      </c>
      <c r="J520" s="12" t="s">
        <v>22</v>
      </c>
      <c r="K520" s="13" t="s">
        <v>850</v>
      </c>
    </row>
    <row r="521" spans="1:11" s="14" customFormat="1" ht="54" x14ac:dyDescent="0.25">
      <c r="A521" s="21">
        <v>510</v>
      </c>
      <c r="B521" s="13" t="s">
        <v>851</v>
      </c>
      <c r="C521" s="26"/>
      <c r="D521" s="11" t="s">
        <v>12</v>
      </c>
      <c r="E521" s="36">
        <v>1.33</v>
      </c>
      <c r="F521" s="11"/>
      <c r="G521" s="11"/>
      <c r="H521" s="11"/>
      <c r="I521" s="11"/>
      <c r="J521" s="12" t="s">
        <v>13</v>
      </c>
      <c r="K521" s="13" t="s">
        <v>852</v>
      </c>
    </row>
    <row r="522" spans="1:11" s="14" customFormat="1" ht="198" x14ac:dyDescent="0.25">
      <c r="A522" s="21">
        <v>511</v>
      </c>
      <c r="B522" s="13" t="s">
        <v>853</v>
      </c>
      <c r="C522" s="26"/>
      <c r="D522" s="11" t="s">
        <v>12</v>
      </c>
      <c r="E522" s="36">
        <v>5</v>
      </c>
      <c r="F522" s="11">
        <v>6</v>
      </c>
      <c r="G522" s="11" t="s">
        <v>21</v>
      </c>
      <c r="H522" s="22">
        <v>46057</v>
      </c>
      <c r="I522" s="22">
        <v>46070</v>
      </c>
      <c r="J522" s="12" t="s">
        <v>22</v>
      </c>
      <c r="K522" s="13" t="s">
        <v>854</v>
      </c>
    </row>
    <row r="523" spans="1:11" s="14" customFormat="1" ht="198" x14ac:dyDescent="0.25">
      <c r="A523" s="21">
        <v>512</v>
      </c>
      <c r="B523" s="13" t="s">
        <v>855</v>
      </c>
      <c r="C523" s="26"/>
      <c r="D523" s="11" t="s">
        <v>12</v>
      </c>
      <c r="E523" s="36">
        <v>5</v>
      </c>
      <c r="F523" s="11"/>
      <c r="G523" s="11"/>
      <c r="H523" s="11"/>
      <c r="I523" s="11"/>
      <c r="J523" s="12" t="s">
        <v>13</v>
      </c>
      <c r="K523" s="13" t="s">
        <v>856</v>
      </c>
    </row>
    <row r="524" spans="1:11" s="14" customFormat="1" ht="36" x14ac:dyDescent="0.25">
      <c r="A524" s="21">
        <v>513</v>
      </c>
      <c r="B524" s="13" t="s">
        <v>857</v>
      </c>
      <c r="C524" s="26"/>
      <c r="D524" s="11" t="s">
        <v>12</v>
      </c>
      <c r="E524" s="36">
        <v>0.8</v>
      </c>
      <c r="F524" s="11"/>
      <c r="G524" s="11"/>
      <c r="H524" s="11"/>
      <c r="I524" s="11"/>
      <c r="J524" s="12" t="s">
        <v>13</v>
      </c>
      <c r="K524" s="13" t="s">
        <v>858</v>
      </c>
    </row>
    <row r="525" spans="1:11" s="14" customFormat="1" ht="90" x14ac:dyDescent="0.25">
      <c r="A525" s="21">
        <v>514</v>
      </c>
      <c r="B525" s="13" t="s">
        <v>859</v>
      </c>
      <c r="C525" s="26"/>
      <c r="D525" s="11" t="s">
        <v>12</v>
      </c>
      <c r="E525" s="36">
        <v>1</v>
      </c>
      <c r="F525" s="11"/>
      <c r="G525" s="11"/>
      <c r="H525" s="11"/>
      <c r="I525" s="11"/>
      <c r="J525" s="12" t="s">
        <v>13</v>
      </c>
      <c r="K525" s="13" t="s">
        <v>860</v>
      </c>
    </row>
    <row r="526" spans="1:11" s="14" customFormat="1" ht="216" x14ac:dyDescent="0.25">
      <c r="A526" s="21">
        <v>515</v>
      </c>
      <c r="B526" s="13" t="s">
        <v>861</v>
      </c>
      <c r="C526" s="26"/>
      <c r="D526" s="11" t="s">
        <v>12</v>
      </c>
      <c r="E526" s="36">
        <v>1</v>
      </c>
      <c r="F526" s="11"/>
      <c r="G526" s="11"/>
      <c r="H526" s="11"/>
      <c r="I526" s="11"/>
      <c r="J526" s="12" t="s">
        <v>13</v>
      </c>
      <c r="K526" s="13" t="s">
        <v>862</v>
      </c>
    </row>
    <row r="527" spans="1:11" s="14" customFormat="1" ht="144" x14ac:dyDescent="0.25">
      <c r="A527" s="21">
        <v>516</v>
      </c>
      <c r="B527" s="13" t="s">
        <v>863</v>
      </c>
      <c r="C527" s="26"/>
      <c r="D527" s="11" t="s">
        <v>12</v>
      </c>
      <c r="E527" s="36">
        <v>1</v>
      </c>
      <c r="F527" s="11"/>
      <c r="G527" s="11"/>
      <c r="H527" s="11"/>
      <c r="I527" s="11"/>
      <c r="J527" s="12" t="s">
        <v>13</v>
      </c>
      <c r="K527" s="13" t="s">
        <v>864</v>
      </c>
    </row>
    <row r="528" spans="1:11" s="14" customFormat="1" ht="72" x14ac:dyDescent="0.25">
      <c r="A528" s="21">
        <v>517</v>
      </c>
      <c r="B528" s="13" t="s">
        <v>865</v>
      </c>
      <c r="C528" s="26"/>
      <c r="D528" s="11" t="s">
        <v>12</v>
      </c>
      <c r="E528" s="36">
        <v>1</v>
      </c>
      <c r="F528" s="11">
        <v>2</v>
      </c>
      <c r="G528" s="11" t="s">
        <v>436</v>
      </c>
      <c r="H528" s="22">
        <v>46057</v>
      </c>
      <c r="I528" s="22">
        <v>46071</v>
      </c>
      <c r="J528" s="12" t="s">
        <v>22</v>
      </c>
      <c r="K528" s="13" t="s">
        <v>866</v>
      </c>
    </row>
    <row r="529" spans="1:11" s="14" customFormat="1" ht="72" x14ac:dyDescent="0.25">
      <c r="A529" s="21">
        <v>518</v>
      </c>
      <c r="B529" s="13" t="s">
        <v>867</v>
      </c>
      <c r="C529" s="26"/>
      <c r="D529" s="11" t="s">
        <v>12</v>
      </c>
      <c r="E529" s="36">
        <v>1</v>
      </c>
      <c r="F529" s="11"/>
      <c r="G529" s="11"/>
      <c r="H529" s="11"/>
      <c r="I529" s="11"/>
      <c r="J529" s="12" t="s">
        <v>13</v>
      </c>
      <c r="K529" s="13" t="s">
        <v>868</v>
      </c>
    </row>
    <row r="530" spans="1:11" s="14" customFormat="1" ht="216" x14ac:dyDescent="0.25">
      <c r="A530" s="21">
        <v>519</v>
      </c>
      <c r="B530" s="13" t="s">
        <v>869</v>
      </c>
      <c r="C530" s="26"/>
      <c r="D530" s="11" t="s">
        <v>12</v>
      </c>
      <c r="E530" s="36">
        <v>1</v>
      </c>
      <c r="F530" s="11">
        <v>2</v>
      </c>
      <c r="G530" s="11" t="s">
        <v>870</v>
      </c>
      <c r="H530" s="22">
        <v>46048</v>
      </c>
      <c r="I530" s="22">
        <v>46070</v>
      </c>
      <c r="J530" s="12" t="s">
        <v>22</v>
      </c>
      <c r="K530" s="13" t="s">
        <v>871</v>
      </c>
    </row>
    <row r="531" spans="1:11" s="14" customFormat="1" ht="180" x14ac:dyDescent="0.25">
      <c r="A531" s="21">
        <v>520</v>
      </c>
      <c r="B531" s="13" t="s">
        <v>872</v>
      </c>
      <c r="C531" s="26"/>
      <c r="D531" s="11" t="s">
        <v>12</v>
      </c>
      <c r="E531" s="36">
        <v>1</v>
      </c>
      <c r="F531" s="11"/>
      <c r="G531" s="11"/>
      <c r="H531" s="11"/>
      <c r="I531" s="11"/>
      <c r="J531" s="12" t="s">
        <v>13</v>
      </c>
      <c r="K531" s="13" t="s">
        <v>873</v>
      </c>
    </row>
    <row r="532" spans="1:11" s="14" customFormat="1" ht="288" x14ac:dyDescent="0.25">
      <c r="A532" s="21">
        <v>521</v>
      </c>
      <c r="B532" s="13" t="s">
        <v>874</v>
      </c>
      <c r="C532" s="26"/>
      <c r="D532" s="11" t="s">
        <v>12</v>
      </c>
      <c r="E532" s="36">
        <v>1</v>
      </c>
      <c r="F532" s="11"/>
      <c r="G532" s="11"/>
      <c r="H532" s="11"/>
      <c r="I532" s="11"/>
      <c r="J532" s="12" t="s">
        <v>13</v>
      </c>
      <c r="K532" s="13" t="s">
        <v>875</v>
      </c>
    </row>
    <row r="533" spans="1:11" s="14" customFormat="1" ht="306" x14ac:dyDescent="0.25">
      <c r="A533" s="21">
        <v>522</v>
      </c>
      <c r="B533" s="13" t="s">
        <v>876</v>
      </c>
      <c r="C533" s="26"/>
      <c r="D533" s="11" t="s">
        <v>12</v>
      </c>
      <c r="E533" s="36">
        <v>1</v>
      </c>
      <c r="F533" s="11"/>
      <c r="G533" s="11"/>
      <c r="H533" s="11"/>
      <c r="I533" s="11"/>
      <c r="J533" s="12" t="s">
        <v>13</v>
      </c>
      <c r="K533" s="13" t="s">
        <v>877</v>
      </c>
    </row>
    <row r="534" spans="1:11" s="14" customFormat="1" ht="144" x14ac:dyDescent="0.25">
      <c r="A534" s="27">
        <v>523</v>
      </c>
      <c r="B534" s="13" t="s">
        <v>878</v>
      </c>
      <c r="C534" s="26"/>
      <c r="D534" s="11" t="s">
        <v>12</v>
      </c>
      <c r="E534" s="36">
        <v>1</v>
      </c>
      <c r="F534" s="11"/>
      <c r="G534" s="11"/>
      <c r="H534" s="11"/>
      <c r="I534" s="11"/>
      <c r="J534" s="12" t="s">
        <v>13</v>
      </c>
      <c r="K534" s="13" t="s">
        <v>879</v>
      </c>
    </row>
    <row r="535" spans="1:11" s="14" customFormat="1" ht="144" x14ac:dyDescent="0.25">
      <c r="A535" s="27">
        <v>524</v>
      </c>
      <c r="B535" s="13" t="s">
        <v>880</v>
      </c>
      <c r="C535" s="26"/>
      <c r="D535" s="11" t="s">
        <v>12</v>
      </c>
      <c r="E535" s="36">
        <v>1</v>
      </c>
      <c r="F535" s="11"/>
      <c r="G535" s="11"/>
      <c r="H535" s="11"/>
      <c r="I535" s="11"/>
      <c r="J535" s="12" t="s">
        <v>13</v>
      </c>
      <c r="K535" s="13" t="s">
        <v>881</v>
      </c>
    </row>
    <row r="536" spans="1:11" s="14" customFormat="1" ht="90" x14ac:dyDescent="0.25">
      <c r="A536" s="27">
        <v>525</v>
      </c>
      <c r="B536" s="13" t="s">
        <v>882</v>
      </c>
      <c r="C536" s="26"/>
      <c r="D536" s="11" t="s">
        <v>12</v>
      </c>
      <c r="E536" s="36">
        <v>1</v>
      </c>
      <c r="F536" s="11"/>
      <c r="G536" s="11"/>
      <c r="H536" s="11"/>
      <c r="I536" s="11"/>
      <c r="J536" s="12" t="s">
        <v>13</v>
      </c>
      <c r="K536" s="13" t="s">
        <v>883</v>
      </c>
    </row>
    <row r="537" spans="1:11" s="14" customFormat="1" ht="90" x14ac:dyDescent="0.25">
      <c r="A537" s="27">
        <v>526</v>
      </c>
      <c r="B537" s="13" t="s">
        <v>884</v>
      </c>
      <c r="C537" s="26"/>
      <c r="D537" s="11" t="s">
        <v>12</v>
      </c>
      <c r="E537" s="36">
        <v>1</v>
      </c>
      <c r="F537" s="11"/>
      <c r="G537" s="11"/>
      <c r="H537" s="11"/>
      <c r="I537" s="11"/>
      <c r="J537" s="12" t="s">
        <v>13</v>
      </c>
      <c r="K537" s="13" t="s">
        <v>885</v>
      </c>
    </row>
    <row r="538" spans="1:11" s="14" customFormat="1" ht="108" x14ac:dyDescent="0.25">
      <c r="A538" s="27">
        <v>527</v>
      </c>
      <c r="B538" s="13" t="s">
        <v>886</v>
      </c>
      <c r="C538" s="26"/>
      <c r="D538" s="11" t="s">
        <v>12</v>
      </c>
      <c r="E538" s="36">
        <v>1</v>
      </c>
      <c r="F538" s="11">
        <v>1</v>
      </c>
      <c r="G538" s="11" t="s">
        <v>21</v>
      </c>
      <c r="H538" s="22">
        <v>46057</v>
      </c>
      <c r="I538" s="22">
        <v>46070</v>
      </c>
      <c r="J538" s="12" t="s">
        <v>22</v>
      </c>
      <c r="K538" s="13" t="s">
        <v>887</v>
      </c>
    </row>
    <row r="539" spans="1:11" s="14" customFormat="1" ht="126" x14ac:dyDescent="0.25">
      <c r="A539" s="27">
        <v>528</v>
      </c>
      <c r="B539" s="13" t="s">
        <v>888</v>
      </c>
      <c r="C539" s="26"/>
      <c r="D539" s="11" t="s">
        <v>12</v>
      </c>
      <c r="E539" s="36">
        <v>1</v>
      </c>
      <c r="F539" s="11"/>
      <c r="G539" s="11"/>
      <c r="H539" s="11"/>
      <c r="I539" s="11"/>
      <c r="J539" s="12" t="s">
        <v>13</v>
      </c>
      <c r="K539" s="13" t="s">
        <v>889</v>
      </c>
    </row>
    <row r="540" spans="1:11" s="14" customFormat="1" ht="36" x14ac:dyDescent="0.25">
      <c r="A540" s="27">
        <v>529</v>
      </c>
      <c r="B540" s="13" t="s">
        <v>890</v>
      </c>
      <c r="C540" s="26"/>
      <c r="D540" s="11" t="s">
        <v>12</v>
      </c>
      <c r="E540" s="36">
        <v>0.8</v>
      </c>
      <c r="F540" s="11"/>
      <c r="G540" s="11"/>
      <c r="H540" s="11"/>
      <c r="I540" s="11"/>
      <c r="J540" s="12" t="s">
        <v>13</v>
      </c>
      <c r="K540" s="13" t="s">
        <v>814</v>
      </c>
    </row>
    <row r="541" spans="1:11" s="14" customFormat="1" ht="36" x14ac:dyDescent="0.25">
      <c r="A541" s="27">
        <v>530</v>
      </c>
      <c r="B541" s="13" t="s">
        <v>891</v>
      </c>
      <c r="C541" s="26"/>
      <c r="D541" s="11" t="s">
        <v>12</v>
      </c>
      <c r="E541" s="36">
        <v>0.8</v>
      </c>
      <c r="F541" s="11"/>
      <c r="G541" s="11"/>
      <c r="H541" s="11"/>
      <c r="I541" s="11"/>
      <c r="J541" s="12" t="s">
        <v>13</v>
      </c>
      <c r="K541" s="13" t="s">
        <v>892</v>
      </c>
    </row>
    <row r="542" spans="1:11" s="14" customFormat="1" ht="54" x14ac:dyDescent="0.25">
      <c r="A542" s="27">
        <v>531</v>
      </c>
      <c r="B542" s="13" t="s">
        <v>893</v>
      </c>
      <c r="C542" s="26"/>
      <c r="D542" s="11" t="s">
        <v>12</v>
      </c>
      <c r="E542" s="36">
        <v>0.8</v>
      </c>
      <c r="F542" s="11"/>
      <c r="G542" s="11"/>
      <c r="H542" s="11"/>
      <c r="I542" s="11"/>
      <c r="J542" s="12" t="s">
        <v>13</v>
      </c>
      <c r="K542" s="13" t="s">
        <v>894</v>
      </c>
    </row>
    <row r="543" spans="1:11" s="14" customFormat="1" ht="36" x14ac:dyDescent="0.25">
      <c r="A543" s="27">
        <v>532</v>
      </c>
      <c r="B543" s="13" t="s">
        <v>895</v>
      </c>
      <c r="C543" s="26"/>
      <c r="D543" s="11" t="s">
        <v>12</v>
      </c>
      <c r="E543" s="36">
        <v>0.8</v>
      </c>
      <c r="F543" s="11"/>
      <c r="G543" s="11"/>
      <c r="H543" s="11"/>
      <c r="I543" s="11"/>
      <c r="J543" s="12" t="s">
        <v>13</v>
      </c>
      <c r="K543" s="13" t="s">
        <v>896</v>
      </c>
    </row>
    <row r="544" spans="1:11" s="14" customFormat="1" ht="36" x14ac:dyDescent="0.25">
      <c r="A544" s="27">
        <v>533</v>
      </c>
      <c r="B544" s="13" t="s">
        <v>897</v>
      </c>
      <c r="C544" s="26"/>
      <c r="D544" s="11" t="s">
        <v>12</v>
      </c>
      <c r="E544" s="36">
        <v>0.8</v>
      </c>
      <c r="F544" s="11"/>
      <c r="G544" s="11"/>
      <c r="H544" s="11"/>
      <c r="I544" s="11"/>
      <c r="J544" s="12" t="s">
        <v>13</v>
      </c>
      <c r="K544" s="13" t="s">
        <v>898</v>
      </c>
    </row>
    <row r="545" spans="1:11" s="14" customFormat="1" ht="36" x14ac:dyDescent="0.25">
      <c r="A545" s="27">
        <v>534</v>
      </c>
      <c r="B545" s="13" t="s">
        <v>899</v>
      </c>
      <c r="C545" s="26"/>
      <c r="D545" s="11" t="s">
        <v>12</v>
      </c>
      <c r="E545" s="36">
        <v>0.8</v>
      </c>
      <c r="F545" s="11"/>
      <c r="G545" s="11"/>
      <c r="H545" s="11"/>
      <c r="I545" s="11"/>
      <c r="J545" s="12" t="s">
        <v>13</v>
      </c>
      <c r="K545" s="13" t="s">
        <v>900</v>
      </c>
    </row>
    <row r="546" spans="1:11" s="14" customFormat="1" ht="54" x14ac:dyDescent="0.25">
      <c r="A546" s="27">
        <v>535</v>
      </c>
      <c r="B546" s="13" t="s">
        <v>901</v>
      </c>
      <c r="C546" s="26"/>
      <c r="D546" s="11" t="s">
        <v>12</v>
      </c>
      <c r="E546" s="36">
        <v>0.8</v>
      </c>
      <c r="F546" s="11"/>
      <c r="G546" s="11"/>
      <c r="H546" s="11"/>
      <c r="I546" s="11"/>
      <c r="J546" s="12" t="s">
        <v>13</v>
      </c>
      <c r="K546" s="13" t="s">
        <v>902</v>
      </c>
    </row>
    <row r="547" spans="1:11" s="14" customFormat="1" ht="36" x14ac:dyDescent="0.25">
      <c r="A547" s="27">
        <v>536</v>
      </c>
      <c r="B547" s="13" t="s">
        <v>903</v>
      </c>
      <c r="C547" s="26"/>
      <c r="D547" s="11" t="s">
        <v>12</v>
      </c>
      <c r="E547" s="36">
        <v>0.8</v>
      </c>
      <c r="F547" s="11"/>
      <c r="G547" s="11"/>
      <c r="H547" s="11"/>
      <c r="I547" s="11"/>
      <c r="J547" s="12" t="s">
        <v>13</v>
      </c>
      <c r="K547" s="13" t="s">
        <v>904</v>
      </c>
    </row>
    <row r="548" spans="1:11" s="14" customFormat="1" ht="36" x14ac:dyDescent="0.25">
      <c r="A548" s="27">
        <v>537</v>
      </c>
      <c r="B548" s="13" t="s">
        <v>905</v>
      </c>
      <c r="C548" s="26"/>
      <c r="D548" s="11" t="s">
        <v>12</v>
      </c>
      <c r="E548" s="36">
        <v>0.8</v>
      </c>
      <c r="F548" s="11">
        <v>2</v>
      </c>
      <c r="G548" s="11" t="s">
        <v>436</v>
      </c>
      <c r="H548" s="22">
        <v>46056</v>
      </c>
      <c r="I548" s="22">
        <v>46071</v>
      </c>
      <c r="J548" s="12" t="s">
        <v>22</v>
      </c>
      <c r="K548" s="13" t="s">
        <v>646</v>
      </c>
    </row>
    <row r="549" spans="1:11" s="20" customFormat="1" ht="18" x14ac:dyDescent="0.25">
      <c r="A549" s="28"/>
      <c r="B549" s="16" t="s">
        <v>906</v>
      </c>
      <c r="C549" s="17">
        <f>SUM(E550:E555)</f>
        <v>8</v>
      </c>
      <c r="D549" s="18"/>
      <c r="E549" s="15"/>
      <c r="F549" s="17">
        <f>SUM(F550:F555)</f>
        <v>16</v>
      </c>
      <c r="G549" s="18"/>
      <c r="H549" s="18"/>
      <c r="I549" s="18"/>
      <c r="J549" s="18"/>
      <c r="K549" s="19"/>
    </row>
    <row r="550" spans="1:11" s="14" customFormat="1" ht="72" x14ac:dyDescent="0.25">
      <c r="A550" s="27">
        <v>538</v>
      </c>
      <c r="B550" s="13" t="s">
        <v>907</v>
      </c>
      <c r="C550" s="90"/>
      <c r="D550" s="11" t="s">
        <v>12</v>
      </c>
      <c r="E550" s="36">
        <v>1</v>
      </c>
      <c r="F550" s="11"/>
      <c r="G550" s="11"/>
      <c r="H550" s="11"/>
      <c r="I550" s="11"/>
      <c r="J550" s="12" t="s">
        <v>13</v>
      </c>
      <c r="K550" s="13"/>
    </row>
    <row r="551" spans="1:11" s="14" customFormat="1" ht="36" x14ac:dyDescent="0.25">
      <c r="A551" s="27">
        <v>539</v>
      </c>
      <c r="B551" s="24" t="s">
        <v>908</v>
      </c>
      <c r="C551" s="90"/>
      <c r="D551" s="11" t="s">
        <v>12</v>
      </c>
      <c r="E551" s="36">
        <v>2</v>
      </c>
      <c r="F551" s="11">
        <v>7</v>
      </c>
      <c r="G551" s="11" t="s">
        <v>25</v>
      </c>
      <c r="H551" s="22">
        <v>46062</v>
      </c>
      <c r="I551" s="22">
        <v>46064</v>
      </c>
      <c r="J551" s="12" t="s">
        <v>22</v>
      </c>
      <c r="K551" s="13" t="s">
        <v>909</v>
      </c>
    </row>
    <row r="552" spans="1:11" s="14" customFormat="1" ht="36" x14ac:dyDescent="0.25">
      <c r="A552" s="27">
        <v>540</v>
      </c>
      <c r="B552" s="24" t="s">
        <v>910</v>
      </c>
      <c r="C552" s="90"/>
      <c r="D552" s="11" t="s">
        <v>12</v>
      </c>
      <c r="E552" s="36">
        <v>2</v>
      </c>
      <c r="F552" s="11">
        <v>7</v>
      </c>
      <c r="G552" s="11" t="s">
        <v>25</v>
      </c>
      <c r="H552" s="22">
        <v>46062</v>
      </c>
      <c r="I552" s="22">
        <v>46064</v>
      </c>
      <c r="J552" s="12" t="s">
        <v>22</v>
      </c>
      <c r="K552" s="13" t="s">
        <v>911</v>
      </c>
    </row>
    <row r="553" spans="1:11" s="14" customFormat="1" ht="36" x14ac:dyDescent="0.25">
      <c r="A553" s="27">
        <v>541</v>
      </c>
      <c r="B553" s="13" t="s">
        <v>912</v>
      </c>
      <c r="C553" s="90"/>
      <c r="D553" s="11" t="s">
        <v>12</v>
      </c>
      <c r="E553" s="36">
        <v>1</v>
      </c>
      <c r="F553" s="11">
        <v>1</v>
      </c>
      <c r="G553" s="11" t="s">
        <v>25</v>
      </c>
      <c r="H553" s="22">
        <v>46027</v>
      </c>
      <c r="I553" s="22">
        <v>46043</v>
      </c>
      <c r="J553" s="12" t="s">
        <v>22</v>
      </c>
      <c r="K553" s="13" t="s">
        <v>913</v>
      </c>
    </row>
    <row r="554" spans="1:11" s="14" customFormat="1" ht="36" x14ac:dyDescent="0.25">
      <c r="A554" s="27">
        <v>542</v>
      </c>
      <c r="B554" s="13" t="s">
        <v>914</v>
      </c>
      <c r="C554" s="90"/>
      <c r="D554" s="11" t="s">
        <v>12</v>
      </c>
      <c r="E554" s="36">
        <v>1</v>
      </c>
      <c r="F554" s="11">
        <v>1</v>
      </c>
      <c r="G554" s="11" t="s">
        <v>21</v>
      </c>
      <c r="H554" s="22">
        <v>46030</v>
      </c>
      <c r="I554" s="22">
        <v>46030</v>
      </c>
      <c r="J554" s="12" t="s">
        <v>22</v>
      </c>
      <c r="K554" s="13" t="s">
        <v>915</v>
      </c>
    </row>
    <row r="555" spans="1:11" s="14" customFormat="1" ht="36" x14ac:dyDescent="0.25">
      <c r="A555" s="27">
        <v>543</v>
      </c>
      <c r="B555" s="13" t="s">
        <v>916</v>
      </c>
      <c r="C555" s="90"/>
      <c r="D555" s="11" t="s">
        <v>12</v>
      </c>
      <c r="E555" s="36">
        <v>1</v>
      </c>
      <c r="F555" s="11"/>
      <c r="G555" s="11"/>
      <c r="H555" s="11"/>
      <c r="I555" s="11"/>
      <c r="J555" s="12" t="s">
        <v>13</v>
      </c>
      <c r="K555" s="13" t="s">
        <v>917</v>
      </c>
    </row>
    <row r="556" spans="1:11" s="20" customFormat="1" ht="18" x14ac:dyDescent="0.25">
      <c r="A556" s="28"/>
      <c r="B556" s="16" t="s">
        <v>918</v>
      </c>
      <c r="C556" s="17">
        <f>SUM(E557:E571)</f>
        <v>14.499999999999998</v>
      </c>
      <c r="D556" s="18"/>
      <c r="E556" s="15"/>
      <c r="F556" s="17">
        <f>SUM(F557:F571)</f>
        <v>10.5</v>
      </c>
      <c r="G556" s="18"/>
      <c r="H556" s="18"/>
      <c r="I556" s="18"/>
      <c r="J556" s="18"/>
      <c r="K556" s="19"/>
    </row>
    <row r="557" spans="1:11" s="14" customFormat="1" ht="36" x14ac:dyDescent="0.25">
      <c r="A557" s="27">
        <v>544</v>
      </c>
      <c r="B557" s="13" t="s">
        <v>919</v>
      </c>
      <c r="C557" s="91"/>
      <c r="D557" s="11" t="s">
        <v>12</v>
      </c>
      <c r="E557" s="36">
        <v>2</v>
      </c>
      <c r="F557" s="11"/>
      <c r="G557" s="11"/>
      <c r="H557" s="11"/>
      <c r="I557" s="11"/>
      <c r="J557" s="12" t="s">
        <v>13</v>
      </c>
      <c r="K557" s="13" t="s">
        <v>17</v>
      </c>
    </row>
    <row r="558" spans="1:11" s="14" customFormat="1" ht="36" x14ac:dyDescent="0.25">
      <c r="A558" s="27">
        <v>545</v>
      </c>
      <c r="B558" s="13" t="s">
        <v>920</v>
      </c>
      <c r="C558" s="91"/>
      <c r="D558" s="11" t="s">
        <v>12</v>
      </c>
      <c r="E558" s="36">
        <v>1</v>
      </c>
      <c r="F558" s="11">
        <v>1.5</v>
      </c>
      <c r="G558" s="11" t="s">
        <v>21</v>
      </c>
      <c r="H558" s="22">
        <v>46028</v>
      </c>
      <c r="I558" s="22">
        <v>46029</v>
      </c>
      <c r="J558" s="12" t="s">
        <v>22</v>
      </c>
      <c r="K558" s="13" t="s">
        <v>17</v>
      </c>
    </row>
    <row r="559" spans="1:11" s="14" customFormat="1" ht="36" x14ac:dyDescent="0.25">
      <c r="A559" s="27">
        <v>546</v>
      </c>
      <c r="B559" s="13" t="s">
        <v>921</v>
      </c>
      <c r="C559" s="91"/>
      <c r="D559" s="11" t="s">
        <v>12</v>
      </c>
      <c r="E559" s="36">
        <v>1</v>
      </c>
      <c r="F559" s="11">
        <v>2</v>
      </c>
      <c r="G559" s="11" t="s">
        <v>21</v>
      </c>
      <c r="H559" s="22">
        <v>46028</v>
      </c>
      <c r="I559" s="22">
        <v>46029</v>
      </c>
      <c r="J559" s="12" t="s">
        <v>22</v>
      </c>
      <c r="K559" s="13" t="s">
        <v>17</v>
      </c>
    </row>
    <row r="560" spans="1:11" s="14" customFormat="1" ht="54" x14ac:dyDescent="0.25">
      <c r="A560" s="27">
        <v>547</v>
      </c>
      <c r="B560" s="13" t="s">
        <v>922</v>
      </c>
      <c r="C560" s="91"/>
      <c r="D560" s="11" t="s">
        <v>12</v>
      </c>
      <c r="E560" s="36">
        <v>1</v>
      </c>
      <c r="F560" s="11">
        <v>1</v>
      </c>
      <c r="G560" s="11" t="s">
        <v>21</v>
      </c>
      <c r="H560" s="22">
        <v>46032</v>
      </c>
      <c r="I560" s="22">
        <v>46041</v>
      </c>
      <c r="J560" s="12" t="s">
        <v>22</v>
      </c>
      <c r="K560" s="13" t="s">
        <v>17</v>
      </c>
    </row>
    <row r="561" spans="1:11" s="14" customFormat="1" ht="54" x14ac:dyDescent="0.25">
      <c r="A561" s="27">
        <v>548</v>
      </c>
      <c r="B561" s="13" t="s">
        <v>923</v>
      </c>
      <c r="C561" s="91"/>
      <c r="D561" s="11" t="s">
        <v>12</v>
      </c>
      <c r="E561" s="36">
        <v>1</v>
      </c>
      <c r="F561" s="11">
        <v>1</v>
      </c>
      <c r="G561" s="11" t="s">
        <v>21</v>
      </c>
      <c r="H561" s="22">
        <v>46032</v>
      </c>
      <c r="I561" s="22">
        <v>46041</v>
      </c>
      <c r="J561" s="12" t="s">
        <v>22</v>
      </c>
      <c r="K561" s="13" t="s">
        <v>17</v>
      </c>
    </row>
    <row r="562" spans="1:11" s="14" customFormat="1" ht="54" x14ac:dyDescent="0.25">
      <c r="A562" s="27">
        <v>549</v>
      </c>
      <c r="B562" s="13" t="s">
        <v>924</v>
      </c>
      <c r="C562" s="91"/>
      <c r="D562" s="11" t="s">
        <v>12</v>
      </c>
      <c r="E562" s="36">
        <v>1</v>
      </c>
      <c r="F562" s="11">
        <v>1</v>
      </c>
      <c r="G562" s="11" t="s">
        <v>21</v>
      </c>
      <c r="H562" s="22">
        <v>46032</v>
      </c>
      <c r="I562" s="22">
        <v>46041</v>
      </c>
      <c r="J562" s="12" t="s">
        <v>22</v>
      </c>
      <c r="K562" s="13" t="s">
        <v>17</v>
      </c>
    </row>
    <row r="563" spans="1:11" s="14" customFormat="1" ht="54" x14ac:dyDescent="0.25">
      <c r="A563" s="27">
        <v>550</v>
      </c>
      <c r="B563" s="13" t="s">
        <v>925</v>
      </c>
      <c r="C563" s="91"/>
      <c r="D563" s="11" t="s">
        <v>12</v>
      </c>
      <c r="E563" s="36">
        <v>0.5</v>
      </c>
      <c r="F563" s="11">
        <v>1</v>
      </c>
      <c r="G563" s="11" t="s">
        <v>21</v>
      </c>
      <c r="H563" s="22">
        <v>46032</v>
      </c>
      <c r="I563" s="22">
        <v>46041</v>
      </c>
      <c r="J563" s="12" t="s">
        <v>22</v>
      </c>
      <c r="K563" s="13" t="s">
        <v>17</v>
      </c>
    </row>
    <row r="564" spans="1:11" s="14" customFormat="1" ht="54" x14ac:dyDescent="0.25">
      <c r="A564" s="27">
        <v>551</v>
      </c>
      <c r="B564" s="13" t="s">
        <v>926</v>
      </c>
      <c r="C564" s="91"/>
      <c r="D564" s="11" t="s">
        <v>12</v>
      </c>
      <c r="E564" s="36">
        <v>1</v>
      </c>
      <c r="F564" s="11"/>
      <c r="G564" s="11"/>
      <c r="H564" s="11"/>
      <c r="I564" s="11"/>
      <c r="J564" s="12" t="s">
        <v>13</v>
      </c>
      <c r="K564" s="13" t="s">
        <v>17</v>
      </c>
    </row>
    <row r="565" spans="1:11" s="14" customFormat="1" ht="54" x14ac:dyDescent="0.25">
      <c r="A565" s="27">
        <v>552</v>
      </c>
      <c r="B565" s="13" t="s">
        <v>927</v>
      </c>
      <c r="C565" s="91"/>
      <c r="D565" s="11" t="s">
        <v>12</v>
      </c>
      <c r="E565" s="36">
        <v>1</v>
      </c>
      <c r="F565" s="11"/>
      <c r="G565" s="11"/>
      <c r="H565" s="11"/>
      <c r="I565" s="11"/>
      <c r="J565" s="12" t="s">
        <v>13</v>
      </c>
      <c r="K565" s="13" t="s">
        <v>17</v>
      </c>
    </row>
    <row r="566" spans="1:11" s="14" customFormat="1" ht="54" x14ac:dyDescent="0.25">
      <c r="A566" s="27">
        <v>553</v>
      </c>
      <c r="B566" s="13" t="s">
        <v>928</v>
      </c>
      <c r="C566" s="91"/>
      <c r="D566" s="11" t="s">
        <v>12</v>
      </c>
      <c r="E566" s="36">
        <v>1</v>
      </c>
      <c r="F566" s="11"/>
      <c r="G566" s="11"/>
      <c r="H566" s="11"/>
      <c r="I566" s="11"/>
      <c r="J566" s="12" t="s">
        <v>13</v>
      </c>
      <c r="K566" s="13" t="s">
        <v>17</v>
      </c>
    </row>
    <row r="567" spans="1:11" s="14" customFormat="1" ht="72" x14ac:dyDescent="0.25">
      <c r="A567" s="27">
        <v>554</v>
      </c>
      <c r="B567" s="13" t="s">
        <v>929</v>
      </c>
      <c r="C567" s="91"/>
      <c r="D567" s="11" t="s">
        <v>12</v>
      </c>
      <c r="E567" s="36">
        <v>2</v>
      </c>
      <c r="F567" s="11"/>
      <c r="G567" s="11"/>
      <c r="H567" s="11"/>
      <c r="I567" s="11"/>
      <c r="J567" s="12" t="s">
        <v>13</v>
      </c>
      <c r="K567" s="13" t="s">
        <v>930</v>
      </c>
    </row>
    <row r="568" spans="1:11" s="14" customFormat="1" ht="90" x14ac:dyDescent="0.25">
      <c r="A568" s="27">
        <v>555</v>
      </c>
      <c r="B568" s="13" t="s">
        <v>931</v>
      </c>
      <c r="C568" s="91"/>
      <c r="D568" s="11" t="s">
        <v>12</v>
      </c>
      <c r="E568" s="36">
        <v>1</v>
      </c>
      <c r="F568" s="11">
        <v>1</v>
      </c>
      <c r="G568" s="11" t="s">
        <v>21</v>
      </c>
      <c r="H568" s="22">
        <v>46037</v>
      </c>
      <c r="I568" s="22">
        <v>46041</v>
      </c>
      <c r="J568" s="12" t="s">
        <v>22</v>
      </c>
      <c r="K568" s="13" t="s">
        <v>26</v>
      </c>
    </row>
    <row r="569" spans="1:11" s="14" customFormat="1" ht="36" x14ac:dyDescent="0.25">
      <c r="A569" s="27">
        <v>556</v>
      </c>
      <c r="B569" s="13" t="s">
        <v>932</v>
      </c>
      <c r="C569" s="91"/>
      <c r="D569" s="11" t="s">
        <v>12</v>
      </c>
      <c r="E569" s="36">
        <v>0.6</v>
      </c>
      <c r="F569" s="11"/>
      <c r="G569" s="11"/>
      <c r="H569" s="11"/>
      <c r="I569" s="11"/>
      <c r="J569" s="12" t="s">
        <v>13</v>
      </c>
      <c r="K569" s="13" t="s">
        <v>26</v>
      </c>
    </row>
    <row r="570" spans="1:11" s="14" customFormat="1" ht="36" x14ac:dyDescent="0.25">
      <c r="A570" s="27">
        <v>557</v>
      </c>
      <c r="B570" s="13" t="s">
        <v>933</v>
      </c>
      <c r="C570" s="91"/>
      <c r="D570" s="11" t="s">
        <v>16</v>
      </c>
      <c r="E570" s="36">
        <v>0.2</v>
      </c>
      <c r="F570" s="11"/>
      <c r="G570" s="11"/>
      <c r="H570" s="11"/>
      <c r="I570" s="11"/>
      <c r="J570" s="12" t="s">
        <v>13</v>
      </c>
      <c r="K570" s="13" t="s">
        <v>26</v>
      </c>
    </row>
    <row r="571" spans="1:11" s="14" customFormat="1" ht="36" x14ac:dyDescent="0.25">
      <c r="A571" s="27">
        <v>558</v>
      </c>
      <c r="B571" s="13" t="s">
        <v>934</v>
      </c>
      <c r="C571" s="91"/>
      <c r="D571" s="11" t="s">
        <v>16</v>
      </c>
      <c r="E571" s="36">
        <v>0.2</v>
      </c>
      <c r="F571" s="11">
        <v>2</v>
      </c>
      <c r="G571" s="11" t="s">
        <v>436</v>
      </c>
      <c r="H571" s="22">
        <v>46048</v>
      </c>
      <c r="I571" s="22">
        <v>46066</v>
      </c>
      <c r="J571" s="12" t="s">
        <v>22</v>
      </c>
      <c r="K571" s="13" t="s">
        <v>26</v>
      </c>
    </row>
    <row r="572" spans="1:11" s="20" customFormat="1" ht="18" x14ac:dyDescent="0.25">
      <c r="A572" s="28"/>
      <c r="B572" s="16" t="s">
        <v>935</v>
      </c>
      <c r="C572" s="17">
        <f>SUM(E573:E577)</f>
        <v>4.04</v>
      </c>
      <c r="D572" s="18"/>
      <c r="E572" s="15"/>
      <c r="F572" s="17">
        <f>SUM(F573:F577)</f>
        <v>1.5</v>
      </c>
      <c r="G572" s="18"/>
      <c r="H572" s="18"/>
      <c r="I572" s="18"/>
      <c r="J572" s="18"/>
      <c r="K572" s="19"/>
    </row>
    <row r="573" spans="1:11" s="14" customFormat="1" ht="36" x14ac:dyDescent="0.25">
      <c r="A573" s="27">
        <v>559</v>
      </c>
      <c r="B573" s="13" t="s">
        <v>936</v>
      </c>
      <c r="C573" s="92"/>
      <c r="D573" s="11" t="s">
        <v>12</v>
      </c>
      <c r="E573" s="36">
        <v>1</v>
      </c>
      <c r="F573" s="11"/>
      <c r="G573" s="11"/>
      <c r="H573" s="11"/>
      <c r="I573" s="11"/>
      <c r="J573" s="12" t="s">
        <v>13</v>
      </c>
      <c r="K573" s="13" t="s">
        <v>17</v>
      </c>
    </row>
    <row r="574" spans="1:11" s="14" customFormat="1" ht="36" x14ac:dyDescent="0.25">
      <c r="A574" s="27">
        <v>560</v>
      </c>
      <c r="B574" s="24" t="s">
        <v>937</v>
      </c>
      <c r="C574" s="92"/>
      <c r="D574" s="11" t="s">
        <v>12</v>
      </c>
      <c r="E574" s="36">
        <v>0.77</v>
      </c>
      <c r="F574" s="11"/>
      <c r="G574" s="11"/>
      <c r="H574" s="11"/>
      <c r="I574" s="11"/>
      <c r="J574" s="12" t="s">
        <v>13</v>
      </c>
      <c r="K574" s="13" t="s">
        <v>26</v>
      </c>
    </row>
    <row r="575" spans="1:11" s="14" customFormat="1" ht="36" x14ac:dyDescent="0.25">
      <c r="A575" s="27">
        <v>561</v>
      </c>
      <c r="B575" s="24" t="s">
        <v>938</v>
      </c>
      <c r="C575" s="92"/>
      <c r="D575" s="11" t="s">
        <v>12</v>
      </c>
      <c r="E575" s="36">
        <v>0.77</v>
      </c>
      <c r="F575" s="11"/>
      <c r="G575" s="11"/>
      <c r="H575" s="11"/>
      <c r="I575" s="11"/>
      <c r="J575" s="12" t="s">
        <v>13</v>
      </c>
      <c r="K575" s="13" t="s">
        <v>26</v>
      </c>
    </row>
    <row r="576" spans="1:11" s="14" customFormat="1" ht="54" x14ac:dyDescent="0.25">
      <c r="A576" s="27">
        <v>562</v>
      </c>
      <c r="B576" s="13" t="s">
        <v>939</v>
      </c>
      <c r="C576" s="92"/>
      <c r="D576" s="11" t="s">
        <v>16</v>
      </c>
      <c r="E576" s="36">
        <v>0.5</v>
      </c>
      <c r="F576" s="11">
        <v>1.5</v>
      </c>
      <c r="G576" s="11" t="s">
        <v>92</v>
      </c>
      <c r="H576" s="22">
        <v>46069</v>
      </c>
      <c r="I576" s="22">
        <v>46070</v>
      </c>
      <c r="J576" s="12" t="s">
        <v>22</v>
      </c>
      <c r="K576" s="13" t="s">
        <v>26</v>
      </c>
    </row>
    <row r="577" spans="1:11" s="14" customFormat="1" ht="54" x14ac:dyDescent="0.25">
      <c r="A577" s="27">
        <v>563</v>
      </c>
      <c r="B577" s="13" t="s">
        <v>940</v>
      </c>
      <c r="C577" s="92"/>
      <c r="D577" s="11" t="s">
        <v>12</v>
      </c>
      <c r="E577" s="36">
        <v>1</v>
      </c>
      <c r="F577" s="11"/>
      <c r="G577" s="11"/>
      <c r="H577" s="11"/>
      <c r="I577" s="11"/>
      <c r="J577" s="12" t="s">
        <v>13</v>
      </c>
      <c r="K577" s="13" t="s">
        <v>26</v>
      </c>
    </row>
    <row r="578" spans="1:11" s="20" customFormat="1" ht="18" x14ac:dyDescent="0.25">
      <c r="A578" s="28"/>
      <c r="B578" s="16" t="s">
        <v>941</v>
      </c>
      <c r="C578" s="17">
        <f>SUM(E579:E587)</f>
        <v>8.129999999999999</v>
      </c>
      <c r="D578" s="18"/>
      <c r="E578" s="15"/>
      <c r="F578" s="17">
        <f>SUM(F579:F587)</f>
        <v>3.5</v>
      </c>
      <c r="G578" s="18"/>
      <c r="H578" s="18"/>
      <c r="I578" s="18"/>
      <c r="J578" s="18"/>
      <c r="K578" s="19"/>
    </row>
    <row r="579" spans="1:11" s="14" customFormat="1" ht="36" x14ac:dyDescent="0.25">
      <c r="A579" s="27">
        <v>564</v>
      </c>
      <c r="B579" s="13" t="s">
        <v>942</v>
      </c>
      <c r="C579" s="93"/>
      <c r="D579" s="11" t="s">
        <v>16</v>
      </c>
      <c r="E579" s="36">
        <v>1</v>
      </c>
      <c r="F579" s="11"/>
      <c r="G579" s="11"/>
      <c r="H579" s="11"/>
      <c r="I579" s="11"/>
      <c r="J579" s="12" t="s">
        <v>13</v>
      </c>
      <c r="K579" s="13" t="s">
        <v>26</v>
      </c>
    </row>
    <row r="580" spans="1:11" s="14" customFormat="1" ht="36" x14ac:dyDescent="0.25">
      <c r="A580" s="27">
        <v>565</v>
      </c>
      <c r="B580" s="13" t="s">
        <v>943</v>
      </c>
      <c r="C580" s="93"/>
      <c r="D580" s="11" t="s">
        <v>16</v>
      </c>
      <c r="E580" s="36">
        <v>1</v>
      </c>
      <c r="F580" s="11"/>
      <c r="G580" s="11"/>
      <c r="H580" s="11"/>
      <c r="I580" s="11"/>
      <c r="J580" s="12" t="s">
        <v>13</v>
      </c>
      <c r="K580" s="13" t="s">
        <v>26</v>
      </c>
    </row>
    <row r="581" spans="1:11" s="14" customFormat="1" ht="36" x14ac:dyDescent="0.25">
      <c r="A581" s="27">
        <v>566</v>
      </c>
      <c r="B581" s="13" t="s">
        <v>944</v>
      </c>
      <c r="C581" s="93"/>
      <c r="D581" s="11" t="s">
        <v>16</v>
      </c>
      <c r="E581" s="36">
        <v>0.5</v>
      </c>
      <c r="F581" s="11"/>
      <c r="G581" s="11"/>
      <c r="H581" s="11"/>
      <c r="I581" s="11"/>
      <c r="J581" s="12" t="s">
        <v>13</v>
      </c>
      <c r="K581" s="13" t="s">
        <v>26</v>
      </c>
    </row>
    <row r="582" spans="1:11" s="14" customFormat="1" ht="54" x14ac:dyDescent="0.25">
      <c r="A582" s="27">
        <v>567</v>
      </c>
      <c r="B582" s="13" t="s">
        <v>945</v>
      </c>
      <c r="C582" s="93"/>
      <c r="D582" s="11" t="s">
        <v>12</v>
      </c>
      <c r="E582" s="36">
        <v>1</v>
      </c>
      <c r="F582" s="11">
        <v>0.75</v>
      </c>
      <c r="G582" s="11" t="s">
        <v>21</v>
      </c>
      <c r="H582" s="22">
        <v>46012</v>
      </c>
      <c r="I582" s="22">
        <v>46014</v>
      </c>
      <c r="J582" s="12" t="s">
        <v>22</v>
      </c>
      <c r="K582" s="13" t="s">
        <v>26</v>
      </c>
    </row>
    <row r="583" spans="1:11" s="14" customFormat="1" ht="54" x14ac:dyDescent="0.25">
      <c r="A583" s="27">
        <v>568</v>
      </c>
      <c r="B583" s="13" t="s">
        <v>946</v>
      </c>
      <c r="C583" s="93"/>
      <c r="D583" s="11" t="s">
        <v>12</v>
      </c>
      <c r="E583" s="36">
        <v>1</v>
      </c>
      <c r="F583" s="11">
        <v>0.5</v>
      </c>
      <c r="G583" s="22" t="s">
        <v>21</v>
      </c>
      <c r="H583" s="22">
        <v>46012</v>
      </c>
      <c r="I583" s="22">
        <v>46014</v>
      </c>
      <c r="J583" s="12" t="s">
        <v>22</v>
      </c>
      <c r="K583" s="13" t="s">
        <v>26</v>
      </c>
    </row>
    <row r="584" spans="1:11" s="14" customFormat="1" ht="54" x14ac:dyDescent="0.25">
      <c r="A584" s="27">
        <v>569</v>
      </c>
      <c r="B584" s="13" t="s">
        <v>947</v>
      </c>
      <c r="C584" s="93"/>
      <c r="D584" s="11" t="s">
        <v>12</v>
      </c>
      <c r="E584" s="36">
        <v>1</v>
      </c>
      <c r="F584" s="11">
        <v>1.5</v>
      </c>
      <c r="G584" s="11" t="s">
        <v>21</v>
      </c>
      <c r="H584" s="22">
        <v>46012</v>
      </c>
      <c r="I584" s="22">
        <v>46014</v>
      </c>
      <c r="J584" s="12" t="s">
        <v>22</v>
      </c>
      <c r="K584" s="13" t="s">
        <v>26</v>
      </c>
    </row>
    <row r="585" spans="1:11" s="14" customFormat="1" ht="36" x14ac:dyDescent="0.25">
      <c r="A585" s="27">
        <v>570</v>
      </c>
      <c r="B585" s="13" t="s">
        <v>948</v>
      </c>
      <c r="C585" s="93"/>
      <c r="D585" s="11" t="s">
        <v>12</v>
      </c>
      <c r="E585" s="36">
        <v>0.3</v>
      </c>
      <c r="F585" s="11">
        <v>0.75</v>
      </c>
      <c r="G585" s="11" t="s">
        <v>21</v>
      </c>
      <c r="H585" s="22">
        <v>46011</v>
      </c>
      <c r="I585" s="22">
        <v>46013</v>
      </c>
      <c r="J585" s="12" t="s">
        <v>22</v>
      </c>
      <c r="K585" s="13" t="s">
        <v>26</v>
      </c>
    </row>
    <row r="586" spans="1:11" s="14" customFormat="1" ht="36" x14ac:dyDescent="0.25">
      <c r="A586" s="27">
        <v>571</v>
      </c>
      <c r="B586" s="13" t="s">
        <v>949</v>
      </c>
      <c r="C586" s="93"/>
      <c r="D586" s="11" t="s">
        <v>12</v>
      </c>
      <c r="E586" s="36">
        <v>1</v>
      </c>
      <c r="F586" s="11"/>
      <c r="G586" s="11"/>
      <c r="H586" s="11"/>
      <c r="I586" s="11"/>
      <c r="J586" s="12" t="s">
        <v>13</v>
      </c>
      <c r="K586" s="13" t="s">
        <v>26</v>
      </c>
    </row>
    <row r="587" spans="1:11" s="14" customFormat="1" ht="72" x14ac:dyDescent="0.25">
      <c r="A587" s="27">
        <v>572</v>
      </c>
      <c r="B587" s="13" t="s">
        <v>950</v>
      </c>
      <c r="C587" s="93"/>
      <c r="D587" s="11" t="s">
        <v>12</v>
      </c>
      <c r="E587" s="36">
        <v>1.33</v>
      </c>
      <c r="F587" s="11"/>
      <c r="G587" s="11"/>
      <c r="H587" s="11"/>
      <c r="I587" s="11"/>
      <c r="J587" s="12" t="s">
        <v>13</v>
      </c>
      <c r="K587" s="13" t="s">
        <v>26</v>
      </c>
    </row>
    <row r="588" spans="1:11" s="20" customFormat="1" ht="18" x14ac:dyDescent="0.25">
      <c r="A588" s="28"/>
      <c r="B588" s="16" t="s">
        <v>951</v>
      </c>
      <c r="C588" s="17">
        <f>SUM(E589:E602)</f>
        <v>13.930000000000001</v>
      </c>
      <c r="D588" s="18"/>
      <c r="E588" s="15"/>
      <c r="F588" s="17">
        <f>SUM(F589:F602)</f>
        <v>23</v>
      </c>
      <c r="G588" s="18"/>
      <c r="H588" s="18"/>
      <c r="I588" s="18"/>
      <c r="J588" s="18"/>
      <c r="K588" s="19"/>
    </row>
    <row r="589" spans="1:11" s="14" customFormat="1" ht="72" x14ac:dyDescent="0.25">
      <c r="A589" s="27">
        <v>573</v>
      </c>
      <c r="B589" s="13" t="s">
        <v>952</v>
      </c>
      <c r="C589" s="85"/>
      <c r="D589" s="11" t="s">
        <v>12</v>
      </c>
      <c r="E589" s="36">
        <v>1.33</v>
      </c>
      <c r="F589" s="11"/>
      <c r="G589" s="11"/>
      <c r="H589" s="11"/>
      <c r="I589" s="11"/>
      <c r="J589" s="12" t="s">
        <v>13</v>
      </c>
      <c r="K589" s="13" t="s">
        <v>26</v>
      </c>
    </row>
    <row r="590" spans="1:11" s="14" customFormat="1" ht="36" x14ac:dyDescent="0.25">
      <c r="A590" s="27">
        <v>574</v>
      </c>
      <c r="B590" s="13" t="s">
        <v>953</v>
      </c>
      <c r="C590" s="85"/>
      <c r="D590" s="11" t="s">
        <v>12</v>
      </c>
      <c r="E590" s="36">
        <v>1</v>
      </c>
      <c r="F590" s="11">
        <v>1</v>
      </c>
      <c r="G590" s="11" t="s">
        <v>21</v>
      </c>
      <c r="H590" s="22">
        <v>46002</v>
      </c>
      <c r="I590" s="22">
        <v>46013</v>
      </c>
      <c r="J590" s="12" t="s">
        <v>22</v>
      </c>
      <c r="K590" s="13" t="s">
        <v>26</v>
      </c>
    </row>
    <row r="591" spans="1:11" s="14" customFormat="1" ht="36" x14ac:dyDescent="0.25">
      <c r="A591" s="27">
        <v>575</v>
      </c>
      <c r="B591" s="13" t="s">
        <v>954</v>
      </c>
      <c r="C591" s="85"/>
      <c r="D591" s="11" t="s">
        <v>12</v>
      </c>
      <c r="E591" s="36">
        <v>1</v>
      </c>
      <c r="F591" s="11">
        <v>1</v>
      </c>
      <c r="G591" s="11" t="s">
        <v>21</v>
      </c>
      <c r="H591" s="22">
        <v>46001</v>
      </c>
      <c r="I591" s="22">
        <v>46013</v>
      </c>
      <c r="J591" s="12" t="s">
        <v>22</v>
      </c>
      <c r="K591" s="13" t="s">
        <v>26</v>
      </c>
    </row>
    <row r="592" spans="1:11" s="14" customFormat="1" ht="36" x14ac:dyDescent="0.25">
      <c r="A592" s="27">
        <v>576</v>
      </c>
      <c r="B592" s="13" t="s">
        <v>955</v>
      </c>
      <c r="C592" s="85"/>
      <c r="D592" s="11" t="s">
        <v>12</v>
      </c>
      <c r="E592" s="36">
        <v>1</v>
      </c>
      <c r="F592" s="11"/>
      <c r="G592" s="11"/>
      <c r="H592" s="11"/>
      <c r="I592" s="11"/>
      <c r="J592" s="12" t="s">
        <v>13</v>
      </c>
      <c r="K592" s="13" t="s">
        <v>26</v>
      </c>
    </row>
    <row r="593" spans="1:11" s="14" customFormat="1" ht="72" x14ac:dyDescent="0.25">
      <c r="A593" s="27">
        <v>577</v>
      </c>
      <c r="B593" s="13" t="s">
        <v>956</v>
      </c>
      <c r="C593" s="85"/>
      <c r="D593" s="11" t="s">
        <v>12</v>
      </c>
      <c r="E593" s="36">
        <v>1</v>
      </c>
      <c r="F593" s="11">
        <v>1</v>
      </c>
      <c r="G593" s="11" t="s">
        <v>21</v>
      </c>
      <c r="H593" s="22">
        <v>45967</v>
      </c>
      <c r="I593" s="22">
        <v>46013</v>
      </c>
      <c r="J593" s="12" t="s">
        <v>22</v>
      </c>
      <c r="K593" s="13" t="s">
        <v>26</v>
      </c>
    </row>
    <row r="594" spans="1:11" s="14" customFormat="1" ht="36" x14ac:dyDescent="0.25">
      <c r="A594" s="27">
        <v>578</v>
      </c>
      <c r="B594" s="24" t="s">
        <v>957</v>
      </c>
      <c r="C594" s="85"/>
      <c r="D594" s="11" t="s">
        <v>12</v>
      </c>
      <c r="E594" s="36">
        <v>0.9</v>
      </c>
      <c r="F594" s="11">
        <v>5</v>
      </c>
      <c r="G594" s="11" t="s">
        <v>25</v>
      </c>
      <c r="H594" s="22">
        <v>46078</v>
      </c>
      <c r="I594" s="22">
        <v>46113</v>
      </c>
      <c r="J594" s="12" t="s">
        <v>22</v>
      </c>
      <c r="K594" s="13" t="s">
        <v>26</v>
      </c>
    </row>
    <row r="595" spans="1:11" s="14" customFormat="1" ht="36" x14ac:dyDescent="0.25">
      <c r="A595" s="27">
        <v>579</v>
      </c>
      <c r="B595" s="24" t="s">
        <v>958</v>
      </c>
      <c r="C595" s="85"/>
      <c r="D595" s="11" t="s">
        <v>12</v>
      </c>
      <c r="E595" s="36">
        <v>0.9</v>
      </c>
      <c r="F595" s="11">
        <v>5</v>
      </c>
      <c r="G595" s="11" t="s">
        <v>25</v>
      </c>
      <c r="H595" s="22">
        <v>46078</v>
      </c>
      <c r="I595" s="22">
        <v>46113</v>
      </c>
      <c r="J595" s="12" t="s">
        <v>22</v>
      </c>
      <c r="K595" s="13" t="s">
        <v>26</v>
      </c>
    </row>
    <row r="596" spans="1:11" s="14" customFormat="1" ht="36" x14ac:dyDescent="0.25">
      <c r="A596" s="27">
        <v>580</v>
      </c>
      <c r="B596" s="24" t="s">
        <v>959</v>
      </c>
      <c r="C596" s="85"/>
      <c r="D596" s="11" t="s">
        <v>12</v>
      </c>
      <c r="E596" s="36">
        <v>1</v>
      </c>
      <c r="F596" s="11"/>
      <c r="G596" s="11"/>
      <c r="H596" s="11"/>
      <c r="I596" s="11"/>
      <c r="J596" s="12" t="s">
        <v>13</v>
      </c>
      <c r="K596" s="13" t="s">
        <v>26</v>
      </c>
    </row>
    <row r="597" spans="1:11" s="14" customFormat="1" ht="54" x14ac:dyDescent="0.25">
      <c r="A597" s="27">
        <v>581</v>
      </c>
      <c r="B597" s="24" t="s">
        <v>960</v>
      </c>
      <c r="C597" s="85"/>
      <c r="D597" s="11" t="s">
        <v>12</v>
      </c>
      <c r="E597" s="36">
        <v>0.9</v>
      </c>
      <c r="F597" s="11">
        <v>5</v>
      </c>
      <c r="G597" s="11" t="s">
        <v>25</v>
      </c>
      <c r="H597" s="22">
        <v>46085</v>
      </c>
      <c r="I597" s="22">
        <v>46113</v>
      </c>
      <c r="J597" s="12" t="s">
        <v>22</v>
      </c>
      <c r="K597" s="13" t="s">
        <v>26</v>
      </c>
    </row>
    <row r="598" spans="1:11" s="14" customFormat="1" ht="36" x14ac:dyDescent="0.25">
      <c r="A598" s="27">
        <v>582</v>
      </c>
      <c r="B598" s="13" t="s">
        <v>961</v>
      </c>
      <c r="C598" s="85"/>
      <c r="D598" s="11" t="s">
        <v>12</v>
      </c>
      <c r="E598" s="36">
        <v>0.9</v>
      </c>
      <c r="F598" s="11"/>
      <c r="G598" s="11"/>
      <c r="H598" s="11"/>
      <c r="I598" s="11"/>
      <c r="J598" s="12" t="s">
        <v>13</v>
      </c>
      <c r="K598" s="13" t="s">
        <v>26</v>
      </c>
    </row>
    <row r="599" spans="1:11" s="14" customFormat="1" ht="36" x14ac:dyDescent="0.25">
      <c r="A599" s="27">
        <v>583</v>
      </c>
      <c r="B599" s="13" t="s">
        <v>962</v>
      </c>
      <c r="C599" s="85"/>
      <c r="D599" s="11" t="s">
        <v>12</v>
      </c>
      <c r="E599" s="36">
        <v>1</v>
      </c>
      <c r="F599" s="11">
        <v>1</v>
      </c>
      <c r="G599" s="11" t="s">
        <v>21</v>
      </c>
      <c r="H599" s="22">
        <v>46012</v>
      </c>
      <c r="I599" s="22">
        <v>46016</v>
      </c>
      <c r="J599" s="12" t="s">
        <v>22</v>
      </c>
      <c r="K599" s="13" t="s">
        <v>26</v>
      </c>
    </row>
    <row r="600" spans="1:11" s="14" customFormat="1" ht="36" x14ac:dyDescent="0.25">
      <c r="A600" s="27">
        <v>584</v>
      </c>
      <c r="B600" s="13" t="s">
        <v>963</v>
      </c>
      <c r="C600" s="85"/>
      <c r="D600" s="11" t="s">
        <v>12</v>
      </c>
      <c r="E600" s="36">
        <v>1</v>
      </c>
      <c r="F600" s="11">
        <v>2</v>
      </c>
      <c r="G600" s="11" t="s">
        <v>25</v>
      </c>
      <c r="H600" s="22">
        <v>46027</v>
      </c>
      <c r="I600" s="22">
        <v>46043</v>
      </c>
      <c r="J600" s="12" t="s">
        <v>22</v>
      </c>
      <c r="K600" s="13" t="s">
        <v>26</v>
      </c>
    </row>
    <row r="601" spans="1:11" s="14" customFormat="1" ht="54" x14ac:dyDescent="0.25">
      <c r="A601" s="27">
        <v>585</v>
      </c>
      <c r="B601" s="13" t="s">
        <v>964</v>
      </c>
      <c r="C601" s="85"/>
      <c r="D601" s="11" t="s">
        <v>12</v>
      </c>
      <c r="E601" s="36">
        <v>1</v>
      </c>
      <c r="F601" s="11">
        <v>2</v>
      </c>
      <c r="G601" s="11" t="s">
        <v>25</v>
      </c>
      <c r="H601" s="22">
        <v>46027</v>
      </c>
      <c r="I601" s="22">
        <v>46043</v>
      </c>
      <c r="J601" s="12" t="s">
        <v>22</v>
      </c>
      <c r="K601" s="13" t="s">
        <v>26</v>
      </c>
    </row>
    <row r="602" spans="1:11" s="14" customFormat="1" ht="108" x14ac:dyDescent="0.25">
      <c r="A602" s="27">
        <v>586</v>
      </c>
      <c r="B602" s="13" t="s">
        <v>965</v>
      </c>
      <c r="C602" s="85"/>
      <c r="D602" s="11" t="s">
        <v>12</v>
      </c>
      <c r="E602" s="36">
        <v>1</v>
      </c>
      <c r="F602" s="11"/>
      <c r="G602" s="11"/>
      <c r="H602" s="11"/>
      <c r="I602" s="11"/>
      <c r="J602" s="12" t="s">
        <v>13</v>
      </c>
      <c r="K602" s="13" t="s">
        <v>26</v>
      </c>
    </row>
    <row r="603" spans="1:11" s="20" customFormat="1" ht="18" x14ac:dyDescent="0.25">
      <c r="A603" s="28"/>
      <c r="B603" s="16" t="s">
        <v>966</v>
      </c>
      <c r="C603" s="17">
        <f>SUM(E604:E611)</f>
        <v>7.92</v>
      </c>
      <c r="D603" s="18"/>
      <c r="E603" s="15"/>
      <c r="F603" s="17">
        <f>SUM(F604:F611)</f>
        <v>3</v>
      </c>
      <c r="G603" s="18"/>
      <c r="H603" s="18"/>
      <c r="I603" s="18"/>
      <c r="J603" s="18"/>
      <c r="K603" s="19"/>
    </row>
    <row r="604" spans="1:11" s="14" customFormat="1" ht="54" x14ac:dyDescent="0.25">
      <c r="A604" s="27">
        <v>587</v>
      </c>
      <c r="B604" s="13" t="s">
        <v>967</v>
      </c>
      <c r="C604" s="86"/>
      <c r="D604" s="11" t="s">
        <v>12</v>
      </c>
      <c r="E604" s="36">
        <v>0.92</v>
      </c>
      <c r="F604" s="11"/>
      <c r="G604" s="11"/>
      <c r="H604" s="11"/>
      <c r="I604" s="11"/>
      <c r="J604" s="12" t="s">
        <v>13</v>
      </c>
      <c r="K604" s="13" t="s">
        <v>26</v>
      </c>
    </row>
    <row r="605" spans="1:11" s="14" customFormat="1" ht="72" x14ac:dyDescent="0.25">
      <c r="A605" s="27">
        <v>588</v>
      </c>
      <c r="B605" s="13" t="s">
        <v>968</v>
      </c>
      <c r="C605" s="86"/>
      <c r="D605" s="11" t="s">
        <v>12</v>
      </c>
      <c r="E605" s="36">
        <v>1</v>
      </c>
      <c r="F605" s="11">
        <v>2</v>
      </c>
      <c r="G605" s="11" t="s">
        <v>870</v>
      </c>
      <c r="H605" s="22">
        <v>46048</v>
      </c>
      <c r="I605" s="22">
        <v>46070</v>
      </c>
      <c r="J605" s="12" t="s">
        <v>22</v>
      </c>
      <c r="K605" s="13" t="s">
        <v>26</v>
      </c>
    </row>
    <row r="606" spans="1:11" s="14" customFormat="1" ht="90" x14ac:dyDescent="0.25">
      <c r="A606" s="27">
        <v>589</v>
      </c>
      <c r="B606" s="13" t="s">
        <v>969</v>
      </c>
      <c r="C606" s="86"/>
      <c r="D606" s="11" t="s">
        <v>12</v>
      </c>
      <c r="E606" s="36">
        <v>1</v>
      </c>
      <c r="F606" s="11">
        <v>1</v>
      </c>
      <c r="G606" s="11" t="s">
        <v>21</v>
      </c>
      <c r="H606" s="22">
        <v>46058</v>
      </c>
      <c r="I606" s="22">
        <v>46078</v>
      </c>
      <c r="J606" s="12" t="s">
        <v>22</v>
      </c>
      <c r="K606" s="13" t="s">
        <v>26</v>
      </c>
    </row>
    <row r="607" spans="1:11" s="14" customFormat="1" ht="36" x14ac:dyDescent="0.25">
      <c r="A607" s="27">
        <v>590</v>
      </c>
      <c r="B607" s="13" t="s">
        <v>970</v>
      </c>
      <c r="C607" s="86"/>
      <c r="D607" s="11" t="s">
        <v>12</v>
      </c>
      <c r="E607" s="36">
        <v>1</v>
      </c>
      <c r="F607" s="11"/>
      <c r="G607" s="11"/>
      <c r="H607" s="11"/>
      <c r="I607" s="11"/>
      <c r="J607" s="12" t="s">
        <v>13</v>
      </c>
      <c r="K607" s="13" t="s">
        <v>26</v>
      </c>
    </row>
    <row r="608" spans="1:11" s="14" customFormat="1" ht="54" x14ac:dyDescent="0.25">
      <c r="A608" s="27">
        <v>591</v>
      </c>
      <c r="B608" s="13" t="s">
        <v>971</v>
      </c>
      <c r="C608" s="86"/>
      <c r="D608" s="11" t="s">
        <v>12</v>
      </c>
      <c r="E608" s="36">
        <v>1</v>
      </c>
      <c r="F608" s="11"/>
      <c r="G608" s="11"/>
      <c r="H608" s="11"/>
      <c r="I608" s="11"/>
      <c r="J608" s="12" t="s">
        <v>13</v>
      </c>
      <c r="K608" s="13" t="s">
        <v>26</v>
      </c>
    </row>
    <row r="609" spans="1:11" s="14" customFormat="1" ht="54" x14ac:dyDescent="0.25">
      <c r="A609" s="27">
        <v>592</v>
      </c>
      <c r="B609" s="13" t="s">
        <v>972</v>
      </c>
      <c r="C609" s="86"/>
      <c r="D609" s="11" t="s">
        <v>12</v>
      </c>
      <c r="E609" s="36">
        <v>1</v>
      </c>
      <c r="F609" s="11"/>
      <c r="G609" s="11"/>
      <c r="H609" s="11"/>
      <c r="I609" s="11"/>
      <c r="J609" s="12" t="s">
        <v>13</v>
      </c>
      <c r="K609" s="13" t="s">
        <v>26</v>
      </c>
    </row>
    <row r="610" spans="1:11" s="14" customFormat="1" ht="54" x14ac:dyDescent="0.25">
      <c r="A610" s="27">
        <v>593</v>
      </c>
      <c r="B610" s="13" t="s">
        <v>973</v>
      </c>
      <c r="C610" s="86"/>
      <c r="D610" s="11" t="s">
        <v>12</v>
      </c>
      <c r="E610" s="36">
        <v>1</v>
      </c>
      <c r="F610" s="11"/>
      <c r="G610" s="11"/>
      <c r="H610" s="11"/>
      <c r="I610" s="11"/>
      <c r="J610" s="12" t="s">
        <v>13</v>
      </c>
      <c r="K610" s="13" t="s">
        <v>26</v>
      </c>
    </row>
    <row r="611" spans="1:11" s="14" customFormat="1" ht="54" x14ac:dyDescent="0.25">
      <c r="A611" s="27">
        <v>594</v>
      </c>
      <c r="B611" s="13" t="s">
        <v>974</v>
      </c>
      <c r="C611" s="86"/>
      <c r="D611" s="11" t="s">
        <v>12</v>
      </c>
      <c r="E611" s="36">
        <v>1</v>
      </c>
      <c r="F611" s="11"/>
      <c r="G611" s="11"/>
      <c r="H611" s="11"/>
      <c r="I611" s="11"/>
      <c r="J611" s="12" t="s">
        <v>13</v>
      </c>
      <c r="K611" s="13" t="s">
        <v>26</v>
      </c>
    </row>
    <row r="612" spans="1:11" s="20" customFormat="1" ht="18" x14ac:dyDescent="0.25">
      <c r="A612" s="28"/>
      <c r="B612" s="16" t="s">
        <v>975</v>
      </c>
      <c r="C612" s="17">
        <f>SUM(E613:E623)</f>
        <v>27.199999999999996</v>
      </c>
      <c r="D612" s="18"/>
      <c r="E612" s="15"/>
      <c r="F612" s="17">
        <f>SUM(F613:F623)</f>
        <v>8.1</v>
      </c>
      <c r="G612" s="18"/>
      <c r="H612" s="18"/>
      <c r="I612" s="18"/>
      <c r="J612" s="18"/>
      <c r="K612" s="19"/>
    </row>
    <row r="613" spans="1:11" s="14" customFormat="1" ht="54" x14ac:dyDescent="0.25">
      <c r="A613" s="27">
        <v>595</v>
      </c>
      <c r="B613" s="13" t="s">
        <v>976</v>
      </c>
      <c r="C613" s="84"/>
      <c r="D613" s="11" t="s">
        <v>12</v>
      </c>
      <c r="E613" s="36">
        <v>1</v>
      </c>
      <c r="F613" s="11"/>
      <c r="G613" s="11"/>
      <c r="H613" s="11"/>
      <c r="I613" s="11"/>
      <c r="J613" s="12" t="s">
        <v>13</v>
      </c>
      <c r="K613" s="13" t="s">
        <v>26</v>
      </c>
    </row>
    <row r="614" spans="1:11" s="14" customFormat="1" ht="36" x14ac:dyDescent="0.25">
      <c r="A614" s="27">
        <v>596</v>
      </c>
      <c r="B614" s="13" t="s">
        <v>977</v>
      </c>
      <c r="C614" s="84"/>
      <c r="D614" s="11" t="s">
        <v>804</v>
      </c>
      <c r="E614" s="36">
        <v>1.93</v>
      </c>
      <c r="F614" s="11"/>
      <c r="G614" s="11"/>
      <c r="H614" s="11"/>
      <c r="I614" s="11"/>
      <c r="J614" s="12" t="s">
        <v>13</v>
      </c>
      <c r="K614" s="13" t="s">
        <v>26</v>
      </c>
    </row>
    <row r="615" spans="1:11" s="14" customFormat="1" ht="72" x14ac:dyDescent="0.25">
      <c r="A615" s="27">
        <v>597</v>
      </c>
      <c r="B615" s="13" t="s">
        <v>978</v>
      </c>
      <c r="C615" s="84"/>
      <c r="D615" s="11" t="s">
        <v>12</v>
      </c>
      <c r="E615" s="36">
        <v>5</v>
      </c>
      <c r="F615" s="11"/>
      <c r="G615" s="11"/>
      <c r="H615" s="11"/>
      <c r="I615" s="11"/>
      <c r="J615" s="12" t="s">
        <v>13</v>
      </c>
      <c r="K615" s="13" t="s">
        <v>26</v>
      </c>
    </row>
    <row r="616" spans="1:11" s="14" customFormat="1" ht="90" x14ac:dyDescent="0.25">
      <c r="A616" s="27">
        <v>598</v>
      </c>
      <c r="B616" s="13" t="s">
        <v>979</v>
      </c>
      <c r="C616" s="84"/>
      <c r="D616" s="11" t="s">
        <v>669</v>
      </c>
      <c r="E616" s="36">
        <v>2</v>
      </c>
      <c r="F616" s="11"/>
      <c r="G616" s="11"/>
      <c r="H616" s="11"/>
      <c r="I616" s="11"/>
      <c r="J616" s="12" t="s">
        <v>13</v>
      </c>
      <c r="K616" s="13" t="s">
        <v>26</v>
      </c>
    </row>
    <row r="617" spans="1:11" s="14" customFormat="1" ht="36" x14ac:dyDescent="0.25">
      <c r="A617" s="27">
        <v>599</v>
      </c>
      <c r="B617" s="13" t="s">
        <v>980</v>
      </c>
      <c r="C617" s="84"/>
      <c r="D617" s="11" t="s">
        <v>12</v>
      </c>
      <c r="E617" s="36">
        <v>1</v>
      </c>
      <c r="F617" s="11"/>
      <c r="G617" s="11"/>
      <c r="H617" s="11"/>
      <c r="I617" s="11"/>
      <c r="J617" s="12" t="s">
        <v>13</v>
      </c>
      <c r="K617" s="13" t="s">
        <v>26</v>
      </c>
    </row>
    <row r="618" spans="1:11" s="14" customFormat="1" ht="36" x14ac:dyDescent="0.25">
      <c r="A618" s="27">
        <v>600</v>
      </c>
      <c r="B618" s="13" t="s">
        <v>981</v>
      </c>
      <c r="C618" s="84"/>
      <c r="D618" s="11"/>
      <c r="E618" s="36">
        <v>10</v>
      </c>
      <c r="F618" s="11"/>
      <c r="G618" s="11"/>
      <c r="H618" s="11"/>
      <c r="I618" s="11"/>
      <c r="J618" s="12" t="s">
        <v>13</v>
      </c>
      <c r="K618" s="13" t="s">
        <v>26</v>
      </c>
    </row>
    <row r="619" spans="1:11" s="14" customFormat="1" ht="54" x14ac:dyDescent="0.25">
      <c r="A619" s="27">
        <v>601</v>
      </c>
      <c r="B619" s="13" t="s">
        <v>982</v>
      </c>
      <c r="C619" s="84"/>
      <c r="D619" s="11" t="s">
        <v>12</v>
      </c>
      <c r="E619" s="36">
        <v>1</v>
      </c>
      <c r="F619" s="11"/>
      <c r="G619" s="11"/>
      <c r="H619" s="11"/>
      <c r="I619" s="11"/>
      <c r="J619" s="12" t="s">
        <v>13</v>
      </c>
      <c r="K619" s="13" t="s">
        <v>26</v>
      </c>
    </row>
    <row r="620" spans="1:11" s="14" customFormat="1" ht="36" x14ac:dyDescent="0.25">
      <c r="A620" s="27">
        <v>602</v>
      </c>
      <c r="B620" s="24" t="s">
        <v>983</v>
      </c>
      <c r="C620" s="84"/>
      <c r="D620" s="11" t="s">
        <v>12</v>
      </c>
      <c r="E620" s="36">
        <v>1.47</v>
      </c>
      <c r="F620" s="11"/>
      <c r="G620" s="11"/>
      <c r="H620" s="11"/>
      <c r="I620" s="11"/>
      <c r="J620" s="12" t="s">
        <v>13</v>
      </c>
      <c r="K620" s="13" t="s">
        <v>26</v>
      </c>
    </row>
    <row r="621" spans="1:11" s="14" customFormat="1" ht="36" x14ac:dyDescent="0.25">
      <c r="A621" s="27">
        <v>603</v>
      </c>
      <c r="B621" s="24" t="s">
        <v>984</v>
      </c>
      <c r="C621" s="84"/>
      <c r="D621" s="11" t="s">
        <v>12</v>
      </c>
      <c r="E621" s="36">
        <v>1.47</v>
      </c>
      <c r="F621" s="11">
        <v>7</v>
      </c>
      <c r="G621" s="11" t="s">
        <v>25</v>
      </c>
      <c r="H621" s="22">
        <v>46062</v>
      </c>
      <c r="I621" s="22">
        <v>46064</v>
      </c>
      <c r="J621" s="12" t="s">
        <v>22</v>
      </c>
      <c r="K621" s="13" t="s">
        <v>26</v>
      </c>
    </row>
    <row r="622" spans="1:11" s="14" customFormat="1" ht="36" x14ac:dyDescent="0.25">
      <c r="A622" s="27">
        <v>604</v>
      </c>
      <c r="B622" s="24" t="s">
        <v>985</v>
      </c>
      <c r="C622" s="84"/>
      <c r="D622" s="11" t="s">
        <v>12</v>
      </c>
      <c r="E622" s="36">
        <v>1.33</v>
      </c>
      <c r="F622" s="11"/>
      <c r="G622" s="11"/>
      <c r="H622" s="11"/>
      <c r="I622" s="11"/>
      <c r="J622" s="12" t="s">
        <v>13</v>
      </c>
      <c r="K622" s="13" t="s">
        <v>26</v>
      </c>
    </row>
    <row r="623" spans="1:11" s="14" customFormat="1" ht="36" x14ac:dyDescent="0.25">
      <c r="A623" s="27">
        <v>605</v>
      </c>
      <c r="B623" s="13" t="s">
        <v>986</v>
      </c>
      <c r="C623" s="84"/>
      <c r="D623" s="11" t="s">
        <v>16</v>
      </c>
      <c r="E623" s="36">
        <v>1</v>
      </c>
      <c r="F623" s="11">
        <v>1.1000000000000001</v>
      </c>
      <c r="G623" s="11" t="s">
        <v>92</v>
      </c>
      <c r="H623" s="22">
        <v>46064</v>
      </c>
      <c r="I623" s="22">
        <v>46064</v>
      </c>
      <c r="J623" s="12" t="s">
        <v>22</v>
      </c>
      <c r="K623" s="13" t="s">
        <v>26</v>
      </c>
    </row>
    <row r="624" spans="1:11" s="20" customFormat="1" ht="18" x14ac:dyDescent="0.25">
      <c r="A624" s="28"/>
      <c r="B624" s="16" t="s">
        <v>987</v>
      </c>
      <c r="C624" s="17">
        <f>SUM(E625:E629)</f>
        <v>5</v>
      </c>
      <c r="D624" s="18"/>
      <c r="E624" s="15"/>
      <c r="F624" s="17">
        <f>SUM(F625:F629)</f>
        <v>2</v>
      </c>
      <c r="G624" s="18"/>
      <c r="H624" s="18"/>
      <c r="I624" s="18"/>
      <c r="J624" s="18"/>
      <c r="K624" s="19"/>
    </row>
    <row r="625" spans="1:11" s="14" customFormat="1" ht="90" x14ac:dyDescent="0.25">
      <c r="A625" s="27">
        <v>606</v>
      </c>
      <c r="B625" s="24" t="s">
        <v>988</v>
      </c>
      <c r="C625" s="87"/>
      <c r="D625" s="11" t="s">
        <v>12</v>
      </c>
      <c r="E625" s="36">
        <v>1</v>
      </c>
      <c r="F625" s="11"/>
      <c r="G625" s="11"/>
      <c r="H625" s="11"/>
      <c r="I625" s="11"/>
      <c r="J625" s="12" t="s">
        <v>13</v>
      </c>
      <c r="K625" s="13" t="s">
        <v>26</v>
      </c>
    </row>
    <row r="626" spans="1:11" s="14" customFormat="1" ht="36" x14ac:dyDescent="0.25">
      <c r="A626" s="27">
        <v>607</v>
      </c>
      <c r="B626" s="13" t="s">
        <v>989</v>
      </c>
      <c r="C626" s="87"/>
      <c r="D626" s="11" t="s">
        <v>12</v>
      </c>
      <c r="E626" s="36">
        <v>1</v>
      </c>
      <c r="F626" s="11"/>
      <c r="G626" s="11"/>
      <c r="H626" s="11"/>
      <c r="I626" s="11"/>
      <c r="J626" s="12" t="s">
        <v>13</v>
      </c>
      <c r="K626" s="13" t="s">
        <v>26</v>
      </c>
    </row>
    <row r="627" spans="1:11" s="14" customFormat="1" ht="36" x14ac:dyDescent="0.25">
      <c r="A627" s="27">
        <v>608</v>
      </c>
      <c r="B627" s="13" t="s">
        <v>990</v>
      </c>
      <c r="C627" s="87"/>
      <c r="D627" s="11" t="s">
        <v>12</v>
      </c>
      <c r="E627" s="36">
        <v>1</v>
      </c>
      <c r="F627" s="11"/>
      <c r="G627" s="11"/>
      <c r="H627" s="11"/>
      <c r="I627" s="11"/>
      <c r="J627" s="12" t="s">
        <v>13</v>
      </c>
      <c r="K627" s="13" t="s">
        <v>26</v>
      </c>
    </row>
    <row r="628" spans="1:11" s="14" customFormat="1" ht="36" x14ac:dyDescent="0.25">
      <c r="A628" s="27">
        <v>609</v>
      </c>
      <c r="B628" s="13" t="s">
        <v>991</v>
      </c>
      <c r="C628" s="87"/>
      <c r="D628" s="11" t="s">
        <v>669</v>
      </c>
      <c r="E628" s="36">
        <v>1</v>
      </c>
      <c r="F628" s="11">
        <v>1</v>
      </c>
      <c r="G628" s="11" t="s">
        <v>992</v>
      </c>
      <c r="H628" s="22">
        <v>46153</v>
      </c>
      <c r="I628" s="22">
        <v>46157</v>
      </c>
      <c r="J628" s="12" t="s">
        <v>22</v>
      </c>
      <c r="K628" s="13" t="s">
        <v>26</v>
      </c>
    </row>
    <row r="629" spans="1:11" s="14" customFormat="1" ht="36" x14ac:dyDescent="0.25">
      <c r="A629" s="27">
        <v>610</v>
      </c>
      <c r="B629" s="13" t="s">
        <v>993</v>
      </c>
      <c r="C629" s="87"/>
      <c r="D629" s="11" t="s">
        <v>669</v>
      </c>
      <c r="E629" s="36">
        <v>1</v>
      </c>
      <c r="F629" s="11">
        <v>1</v>
      </c>
      <c r="G629" s="11"/>
      <c r="H629" s="11"/>
      <c r="I629" s="11"/>
      <c r="J629" s="12" t="s">
        <v>22</v>
      </c>
      <c r="K629" s="13" t="s">
        <v>26</v>
      </c>
    </row>
    <row r="630" spans="1:11" s="20" customFormat="1" ht="18" x14ac:dyDescent="0.25">
      <c r="A630" s="28"/>
      <c r="B630" s="16" t="s">
        <v>994</v>
      </c>
      <c r="C630" s="17">
        <f>SUM(E631:E638)</f>
        <v>14</v>
      </c>
      <c r="D630" s="18"/>
      <c r="E630" s="15"/>
      <c r="F630" s="17">
        <f>SUM(F631:F638)</f>
        <v>10.5</v>
      </c>
      <c r="G630" s="18"/>
      <c r="H630" s="18"/>
      <c r="I630" s="18"/>
      <c r="J630" s="18"/>
      <c r="K630" s="19"/>
    </row>
    <row r="631" spans="1:11" s="14" customFormat="1" ht="36" x14ac:dyDescent="0.25">
      <c r="A631" s="27">
        <v>611</v>
      </c>
      <c r="B631" s="13" t="s">
        <v>995</v>
      </c>
      <c r="C631" s="88"/>
      <c r="D631" s="11" t="s">
        <v>996</v>
      </c>
      <c r="E631" s="36">
        <v>2</v>
      </c>
      <c r="F631" s="11">
        <v>2</v>
      </c>
      <c r="G631" s="11" t="s">
        <v>21</v>
      </c>
      <c r="H631" s="22">
        <v>45987</v>
      </c>
      <c r="I631" s="22">
        <v>46013</v>
      </c>
      <c r="J631" s="12" t="s">
        <v>22</v>
      </c>
      <c r="K631" s="13" t="s">
        <v>26</v>
      </c>
    </row>
    <row r="632" spans="1:11" s="14" customFormat="1" ht="36" x14ac:dyDescent="0.25">
      <c r="A632" s="27">
        <v>612</v>
      </c>
      <c r="B632" s="13" t="s">
        <v>997</v>
      </c>
      <c r="C632" s="88"/>
      <c r="D632" s="11" t="s">
        <v>996</v>
      </c>
      <c r="E632" s="36">
        <v>2</v>
      </c>
      <c r="F632" s="11">
        <v>1.5</v>
      </c>
      <c r="G632" s="11" t="s">
        <v>25</v>
      </c>
      <c r="H632" s="22">
        <v>45987</v>
      </c>
      <c r="I632" s="22">
        <v>46006</v>
      </c>
      <c r="J632" s="12" t="s">
        <v>22</v>
      </c>
      <c r="K632" s="13" t="s">
        <v>26</v>
      </c>
    </row>
    <row r="633" spans="1:11" s="14" customFormat="1" ht="36" x14ac:dyDescent="0.25">
      <c r="A633" s="27">
        <v>613</v>
      </c>
      <c r="B633" s="13" t="s">
        <v>998</v>
      </c>
      <c r="C633" s="88"/>
      <c r="D633" s="11" t="s">
        <v>996</v>
      </c>
      <c r="E633" s="36">
        <v>2</v>
      </c>
      <c r="F633" s="11">
        <v>2</v>
      </c>
      <c r="G633" s="11" t="s">
        <v>21</v>
      </c>
      <c r="H633" s="22">
        <v>45987</v>
      </c>
      <c r="I633" s="22">
        <v>46013</v>
      </c>
      <c r="J633" s="12" t="s">
        <v>22</v>
      </c>
      <c r="K633" s="13" t="s">
        <v>26</v>
      </c>
    </row>
    <row r="634" spans="1:11" s="14" customFormat="1" ht="36" x14ac:dyDescent="0.25">
      <c r="A634" s="27">
        <v>614</v>
      </c>
      <c r="B634" s="13" t="s">
        <v>999</v>
      </c>
      <c r="C634" s="88"/>
      <c r="D634" s="11" t="s">
        <v>996</v>
      </c>
      <c r="E634" s="36">
        <v>2</v>
      </c>
      <c r="F634" s="11">
        <v>1.5</v>
      </c>
      <c r="G634" s="11" t="s">
        <v>25</v>
      </c>
      <c r="H634" s="22">
        <v>45987</v>
      </c>
      <c r="I634" s="22">
        <v>46006</v>
      </c>
      <c r="J634" s="12" t="s">
        <v>22</v>
      </c>
      <c r="K634" s="13" t="s">
        <v>26</v>
      </c>
    </row>
    <row r="635" spans="1:11" s="14" customFormat="1" ht="36" x14ac:dyDescent="0.25">
      <c r="A635" s="27">
        <v>615</v>
      </c>
      <c r="B635" s="13" t="s">
        <v>1000</v>
      </c>
      <c r="C635" s="88"/>
      <c r="D635" s="11" t="s">
        <v>996</v>
      </c>
      <c r="E635" s="36">
        <v>2</v>
      </c>
      <c r="F635" s="11">
        <v>2</v>
      </c>
      <c r="G635" s="11" t="s">
        <v>21</v>
      </c>
      <c r="H635" s="22">
        <v>45987</v>
      </c>
      <c r="I635" s="22">
        <v>46013</v>
      </c>
      <c r="J635" s="12" t="s">
        <v>22</v>
      </c>
      <c r="K635" s="13" t="s">
        <v>26</v>
      </c>
    </row>
    <row r="636" spans="1:11" s="14" customFormat="1" ht="36" x14ac:dyDescent="0.25">
      <c r="A636" s="27">
        <v>616</v>
      </c>
      <c r="B636" s="13" t="s">
        <v>1001</v>
      </c>
      <c r="C636" s="88"/>
      <c r="D636" s="11" t="s">
        <v>996</v>
      </c>
      <c r="E636" s="36">
        <v>2</v>
      </c>
      <c r="F636" s="11">
        <v>1.5</v>
      </c>
      <c r="G636" s="11" t="s">
        <v>25</v>
      </c>
      <c r="H636" s="22">
        <v>45987</v>
      </c>
      <c r="I636" s="22">
        <v>46006</v>
      </c>
      <c r="J636" s="12" t="s">
        <v>22</v>
      </c>
      <c r="K636" s="13" t="s">
        <v>26</v>
      </c>
    </row>
    <row r="637" spans="1:11" s="14" customFormat="1" ht="36" x14ac:dyDescent="0.25">
      <c r="A637" s="27">
        <v>617</v>
      </c>
      <c r="B637" s="13" t="s">
        <v>1002</v>
      </c>
      <c r="C637" s="88"/>
      <c r="D637" s="11" t="s">
        <v>12</v>
      </c>
      <c r="E637" s="36">
        <v>1</v>
      </c>
      <c r="F637" s="11"/>
      <c r="G637" s="11"/>
      <c r="H637" s="11"/>
      <c r="I637" s="11"/>
      <c r="J637" s="12" t="s">
        <v>13</v>
      </c>
      <c r="K637" s="13" t="s">
        <v>26</v>
      </c>
    </row>
    <row r="638" spans="1:11" s="14" customFormat="1" ht="36" x14ac:dyDescent="0.25">
      <c r="A638" s="27">
        <v>618</v>
      </c>
      <c r="B638" s="13" t="s">
        <v>1003</v>
      </c>
      <c r="C638" s="88"/>
      <c r="D638" s="11" t="s">
        <v>12</v>
      </c>
      <c r="E638" s="36">
        <v>1</v>
      </c>
      <c r="F638" s="11"/>
      <c r="G638" s="11"/>
      <c r="H638" s="11"/>
      <c r="I638" s="11"/>
      <c r="J638" s="12" t="s">
        <v>13</v>
      </c>
      <c r="K638" s="13" t="s">
        <v>26</v>
      </c>
    </row>
    <row r="639" spans="1:11" s="20" customFormat="1" ht="18" x14ac:dyDescent="0.25">
      <c r="A639" s="28">
        <v>619</v>
      </c>
      <c r="B639" s="29" t="s">
        <v>1004</v>
      </c>
      <c r="C639" s="17">
        <f>SUM(E640:E690)</f>
        <v>190.8</v>
      </c>
      <c r="D639" s="18"/>
      <c r="E639" s="15"/>
      <c r="F639" s="17">
        <f>SUM(F640:F682)</f>
        <v>2.5</v>
      </c>
      <c r="G639" s="18"/>
      <c r="H639" s="18"/>
      <c r="I639" s="18"/>
      <c r="J639" s="18"/>
      <c r="K639" s="19"/>
    </row>
    <row r="640" spans="1:11" s="14" customFormat="1" ht="36" x14ac:dyDescent="0.25">
      <c r="A640" s="27">
        <v>620</v>
      </c>
      <c r="B640" s="13" t="s">
        <v>1005</v>
      </c>
      <c r="C640" s="30"/>
      <c r="D640" s="11" t="s">
        <v>16</v>
      </c>
      <c r="E640" s="36">
        <v>1</v>
      </c>
      <c r="F640" s="11"/>
      <c r="G640" s="11"/>
      <c r="H640" s="11"/>
      <c r="I640" s="11"/>
      <c r="J640" s="12" t="s">
        <v>13</v>
      </c>
      <c r="K640" s="13" t="s">
        <v>26</v>
      </c>
    </row>
    <row r="641" spans="1:11" s="14" customFormat="1" ht="18" x14ac:dyDescent="0.25">
      <c r="A641" s="27">
        <v>621</v>
      </c>
      <c r="B641" s="13" t="s">
        <v>1006</v>
      </c>
      <c r="C641" s="30"/>
      <c r="D641" s="11" t="s">
        <v>16</v>
      </c>
      <c r="E641" s="36">
        <v>2</v>
      </c>
      <c r="F641" s="11"/>
      <c r="G641" s="11"/>
      <c r="H641" s="11"/>
      <c r="I641" s="11"/>
      <c r="J641" s="12" t="s">
        <v>13</v>
      </c>
      <c r="K641" s="13" t="s">
        <v>26</v>
      </c>
    </row>
    <row r="642" spans="1:11" s="14" customFormat="1" ht="36" x14ac:dyDescent="0.25">
      <c r="A642" s="27">
        <v>622</v>
      </c>
      <c r="B642" s="13" t="s">
        <v>1007</v>
      </c>
      <c r="C642" s="30"/>
      <c r="D642" s="11" t="s">
        <v>16</v>
      </c>
      <c r="E642" s="36">
        <v>1</v>
      </c>
      <c r="F642" s="11"/>
      <c r="G642" s="11"/>
      <c r="H642" s="11"/>
      <c r="I642" s="11"/>
      <c r="J642" s="12" t="s">
        <v>13</v>
      </c>
      <c r="K642" s="13" t="s">
        <v>26</v>
      </c>
    </row>
    <row r="643" spans="1:11" s="14" customFormat="1" ht="72" x14ac:dyDescent="0.25">
      <c r="A643" s="27">
        <v>623</v>
      </c>
      <c r="B643" s="13" t="s">
        <v>1008</v>
      </c>
      <c r="C643" s="30"/>
      <c r="D643" s="11" t="s">
        <v>12</v>
      </c>
      <c r="E643" s="36">
        <v>2</v>
      </c>
      <c r="F643" s="11"/>
      <c r="G643" s="11"/>
      <c r="H643" s="11"/>
      <c r="I643" s="11"/>
      <c r="J643" s="12" t="s">
        <v>13</v>
      </c>
      <c r="K643" s="13" t="s">
        <v>26</v>
      </c>
    </row>
    <row r="644" spans="1:11" s="14" customFormat="1" ht="36" x14ac:dyDescent="0.25">
      <c r="A644" s="27">
        <v>624</v>
      </c>
      <c r="B644" s="13" t="s">
        <v>1009</v>
      </c>
      <c r="C644" s="30"/>
      <c r="D644" s="11" t="s">
        <v>16</v>
      </c>
      <c r="E644" s="36">
        <v>1</v>
      </c>
      <c r="F644" s="11"/>
      <c r="G644" s="11"/>
      <c r="H644" s="11"/>
      <c r="I644" s="11"/>
      <c r="J644" s="12" t="s">
        <v>13</v>
      </c>
      <c r="K644" s="13" t="s">
        <v>26</v>
      </c>
    </row>
    <row r="645" spans="1:11" s="14" customFormat="1" ht="18" x14ac:dyDescent="0.25">
      <c r="A645" s="27">
        <v>625</v>
      </c>
      <c r="B645" s="13" t="s">
        <v>1010</v>
      </c>
      <c r="C645" s="30"/>
      <c r="D645" s="11" t="s">
        <v>16</v>
      </c>
      <c r="E645" s="36">
        <v>0.3</v>
      </c>
      <c r="F645" s="11"/>
      <c r="G645" s="11"/>
      <c r="H645" s="11"/>
      <c r="I645" s="11"/>
      <c r="J645" s="12" t="s">
        <v>13</v>
      </c>
      <c r="K645" s="13" t="s">
        <v>26</v>
      </c>
    </row>
    <row r="646" spans="1:11" s="14" customFormat="1" ht="54" x14ac:dyDescent="0.25">
      <c r="A646" s="27">
        <v>626</v>
      </c>
      <c r="B646" s="13" t="s">
        <v>1011</v>
      </c>
      <c r="C646" s="30"/>
      <c r="D646" s="11" t="s">
        <v>16</v>
      </c>
      <c r="E646" s="36">
        <v>1</v>
      </c>
      <c r="F646" s="11"/>
      <c r="G646" s="11"/>
      <c r="H646" s="11"/>
      <c r="I646" s="11"/>
      <c r="J646" s="12" t="s">
        <v>13</v>
      </c>
      <c r="K646" s="13" t="s">
        <v>26</v>
      </c>
    </row>
    <row r="647" spans="1:11" s="14" customFormat="1" ht="36" x14ac:dyDescent="0.25">
      <c r="A647" s="27">
        <v>627</v>
      </c>
      <c r="B647" s="13" t="s">
        <v>1012</v>
      </c>
      <c r="C647" s="30"/>
      <c r="D647" s="11" t="s">
        <v>16</v>
      </c>
      <c r="E647" s="36">
        <v>1</v>
      </c>
      <c r="F647" s="11"/>
      <c r="G647" s="11"/>
      <c r="H647" s="11"/>
      <c r="I647" s="11"/>
      <c r="J647" s="12" t="s">
        <v>13</v>
      </c>
      <c r="K647" s="13" t="s">
        <v>26</v>
      </c>
    </row>
    <row r="648" spans="1:11" s="14" customFormat="1" ht="36" x14ac:dyDescent="0.25">
      <c r="A648" s="27">
        <v>628</v>
      </c>
      <c r="B648" s="13" t="s">
        <v>1013</v>
      </c>
      <c r="C648" s="30"/>
      <c r="D648" s="11" t="s">
        <v>16</v>
      </c>
      <c r="E648" s="36">
        <v>1</v>
      </c>
      <c r="F648" s="11"/>
      <c r="G648" s="11"/>
      <c r="H648" s="11"/>
      <c r="I648" s="11"/>
      <c r="J648" s="12" t="s">
        <v>13</v>
      </c>
      <c r="K648" s="13" t="s">
        <v>26</v>
      </c>
    </row>
    <row r="649" spans="1:11" s="14" customFormat="1" ht="36" x14ac:dyDescent="0.25">
      <c r="A649" s="27">
        <v>629</v>
      </c>
      <c r="B649" s="13" t="s">
        <v>1014</v>
      </c>
      <c r="C649" s="30"/>
      <c r="D649" s="11" t="s">
        <v>16</v>
      </c>
      <c r="E649" s="36">
        <v>1</v>
      </c>
      <c r="F649" s="11"/>
      <c r="G649" s="11"/>
      <c r="H649" s="11"/>
      <c r="I649" s="11"/>
      <c r="J649" s="12" t="s">
        <v>13</v>
      </c>
      <c r="K649" s="13" t="s">
        <v>26</v>
      </c>
    </row>
    <row r="650" spans="1:11" s="14" customFormat="1" ht="18" x14ac:dyDescent="0.25">
      <c r="A650" s="27">
        <v>630</v>
      </c>
      <c r="B650" s="13" t="s">
        <v>1015</v>
      </c>
      <c r="C650" s="30"/>
      <c r="D650" s="11" t="s">
        <v>16</v>
      </c>
      <c r="E650" s="36">
        <v>3</v>
      </c>
      <c r="F650" s="11"/>
      <c r="G650" s="11"/>
      <c r="H650" s="11"/>
      <c r="I650" s="11"/>
      <c r="J650" s="12" t="s">
        <v>13</v>
      </c>
      <c r="K650" s="13" t="s">
        <v>26</v>
      </c>
    </row>
    <row r="651" spans="1:11" s="14" customFormat="1" ht="36" x14ac:dyDescent="0.25">
      <c r="A651" s="27">
        <v>631</v>
      </c>
      <c r="B651" s="13" t="s">
        <v>1016</v>
      </c>
      <c r="C651" s="30"/>
      <c r="D651" s="11" t="s">
        <v>12</v>
      </c>
      <c r="E651" s="36">
        <v>30</v>
      </c>
      <c r="F651" s="11"/>
      <c r="G651" s="11"/>
      <c r="H651" s="11"/>
      <c r="I651" s="11"/>
      <c r="J651" s="12" t="s">
        <v>13</v>
      </c>
      <c r="K651" s="13" t="s">
        <v>26</v>
      </c>
    </row>
    <row r="652" spans="1:11" s="14" customFormat="1" ht="36" x14ac:dyDescent="0.25">
      <c r="A652" s="27">
        <v>632</v>
      </c>
      <c r="B652" s="13" t="s">
        <v>1017</v>
      </c>
      <c r="C652" s="30"/>
      <c r="D652" s="11" t="s">
        <v>12</v>
      </c>
      <c r="E652" s="36">
        <v>1</v>
      </c>
      <c r="F652" s="11">
        <v>1</v>
      </c>
      <c r="G652" s="11" t="s">
        <v>21</v>
      </c>
      <c r="H652" s="22">
        <v>46055</v>
      </c>
      <c r="I652" s="22">
        <v>46070</v>
      </c>
      <c r="J652" s="12" t="s">
        <v>22</v>
      </c>
      <c r="K652" s="13" t="s">
        <v>26</v>
      </c>
    </row>
    <row r="653" spans="1:11" s="14" customFormat="1" ht="36" x14ac:dyDescent="0.25">
      <c r="A653" s="27">
        <v>633</v>
      </c>
      <c r="B653" s="13" t="s">
        <v>1018</v>
      </c>
      <c r="C653" s="30"/>
      <c r="D653" s="11" t="s">
        <v>12</v>
      </c>
      <c r="E653" s="36">
        <v>1</v>
      </c>
      <c r="F653" s="11"/>
      <c r="G653" s="11"/>
      <c r="H653" s="11"/>
      <c r="I653" s="11"/>
      <c r="J653" s="12" t="s">
        <v>13</v>
      </c>
      <c r="K653" s="13" t="s">
        <v>26</v>
      </c>
    </row>
    <row r="654" spans="1:11" s="14" customFormat="1" ht="36" x14ac:dyDescent="0.25">
      <c r="A654" s="27">
        <v>634</v>
      </c>
      <c r="B654" s="13" t="s">
        <v>1019</v>
      </c>
      <c r="C654" s="30"/>
      <c r="D654" s="11" t="s">
        <v>16</v>
      </c>
      <c r="E654" s="36">
        <v>1</v>
      </c>
      <c r="F654" s="11"/>
      <c r="G654" s="11"/>
      <c r="H654" s="11"/>
      <c r="I654" s="11"/>
      <c r="J654" s="12" t="s">
        <v>13</v>
      </c>
      <c r="K654" s="13" t="s">
        <v>26</v>
      </c>
    </row>
    <row r="655" spans="1:11" s="14" customFormat="1" ht="18" x14ac:dyDescent="0.25">
      <c r="A655" s="27">
        <v>635</v>
      </c>
      <c r="B655" s="13" t="s">
        <v>1020</v>
      </c>
      <c r="C655" s="30"/>
      <c r="D655" s="11" t="s">
        <v>12</v>
      </c>
      <c r="E655" s="36">
        <v>1</v>
      </c>
      <c r="F655" s="11"/>
      <c r="G655" s="11"/>
      <c r="H655" s="11"/>
      <c r="I655" s="11"/>
      <c r="J655" s="12" t="s">
        <v>13</v>
      </c>
      <c r="K655" s="13" t="s">
        <v>26</v>
      </c>
    </row>
    <row r="656" spans="1:11" s="14" customFormat="1" ht="18" x14ac:dyDescent="0.25">
      <c r="A656" s="27">
        <v>636</v>
      </c>
      <c r="B656" s="13" t="s">
        <v>1021</v>
      </c>
      <c r="C656" s="30"/>
      <c r="D656" s="11" t="s">
        <v>12</v>
      </c>
      <c r="E656" s="36">
        <v>1</v>
      </c>
      <c r="F656" s="11"/>
      <c r="G656" s="11"/>
      <c r="H656" s="11"/>
      <c r="I656" s="11"/>
      <c r="J656" s="12" t="s">
        <v>13</v>
      </c>
      <c r="K656" s="13" t="s">
        <v>26</v>
      </c>
    </row>
    <row r="657" spans="1:11" s="14" customFormat="1" ht="36" x14ac:dyDescent="0.25">
      <c r="A657" s="27">
        <v>637</v>
      </c>
      <c r="B657" s="13" t="s">
        <v>1022</v>
      </c>
      <c r="C657" s="30"/>
      <c r="D657" s="11" t="s">
        <v>996</v>
      </c>
      <c r="E657" s="36">
        <v>2</v>
      </c>
      <c r="F657" s="11"/>
      <c r="G657" s="11"/>
      <c r="H657" s="11"/>
      <c r="I657" s="11"/>
      <c r="J657" s="12" t="s">
        <v>13</v>
      </c>
      <c r="K657" s="13" t="s">
        <v>26</v>
      </c>
    </row>
    <row r="658" spans="1:11" s="14" customFormat="1" ht="72" x14ac:dyDescent="0.25">
      <c r="A658" s="27">
        <v>638</v>
      </c>
      <c r="B658" s="13" t="s">
        <v>1023</v>
      </c>
      <c r="C658" s="30"/>
      <c r="D658" s="11" t="s">
        <v>12</v>
      </c>
      <c r="E658" s="36">
        <v>1</v>
      </c>
      <c r="F658" s="11"/>
      <c r="G658" s="11"/>
      <c r="H658" s="11"/>
      <c r="I658" s="11"/>
      <c r="J658" s="12" t="s">
        <v>13</v>
      </c>
      <c r="K658" s="13" t="s">
        <v>26</v>
      </c>
    </row>
    <row r="659" spans="1:11" s="14" customFormat="1" ht="54" x14ac:dyDescent="0.25">
      <c r="A659" s="27">
        <v>639</v>
      </c>
      <c r="B659" s="13" t="s">
        <v>1024</v>
      </c>
      <c r="C659" s="30"/>
      <c r="D659" s="11" t="s">
        <v>12</v>
      </c>
      <c r="E659" s="36">
        <v>12</v>
      </c>
      <c r="F659" s="11"/>
      <c r="G659" s="11"/>
      <c r="H659" s="11"/>
      <c r="I659" s="11"/>
      <c r="J659" s="12" t="s">
        <v>13</v>
      </c>
      <c r="K659" s="13" t="s">
        <v>17</v>
      </c>
    </row>
    <row r="660" spans="1:11" s="14" customFormat="1" ht="54" x14ac:dyDescent="0.25">
      <c r="A660" s="27">
        <v>640</v>
      </c>
      <c r="B660" s="13" t="s">
        <v>1025</v>
      </c>
      <c r="C660" s="30"/>
      <c r="D660" s="11" t="s">
        <v>12</v>
      </c>
      <c r="E660" s="36">
        <v>8</v>
      </c>
      <c r="F660" s="11"/>
      <c r="G660" s="11"/>
      <c r="H660" s="11"/>
      <c r="I660" s="11"/>
      <c r="J660" s="12" t="s">
        <v>13</v>
      </c>
      <c r="K660" s="13" t="s">
        <v>17</v>
      </c>
    </row>
    <row r="661" spans="1:11" s="14" customFormat="1" ht="18" x14ac:dyDescent="0.25">
      <c r="A661" s="27">
        <v>641</v>
      </c>
      <c r="B661" s="13" t="s">
        <v>1026</v>
      </c>
      <c r="C661" s="30"/>
      <c r="D661" s="11" t="s">
        <v>12</v>
      </c>
      <c r="E661" s="36">
        <v>1</v>
      </c>
      <c r="F661" s="11"/>
      <c r="G661" s="11"/>
      <c r="H661" s="11"/>
      <c r="I661" s="11"/>
      <c r="J661" s="12" t="s">
        <v>13</v>
      </c>
      <c r="K661" s="13" t="s">
        <v>26</v>
      </c>
    </row>
    <row r="662" spans="1:11" s="14" customFormat="1" ht="36" x14ac:dyDescent="0.25">
      <c r="A662" s="27">
        <v>642</v>
      </c>
      <c r="B662" s="13" t="s">
        <v>1027</v>
      </c>
      <c r="C662" s="30"/>
      <c r="D662" s="11" t="s">
        <v>12</v>
      </c>
      <c r="E662" s="36">
        <v>1</v>
      </c>
      <c r="F662" s="11"/>
      <c r="G662" s="11"/>
      <c r="H662" s="11"/>
      <c r="I662" s="11"/>
      <c r="J662" s="12" t="s">
        <v>13</v>
      </c>
      <c r="K662" s="13" t="s">
        <v>26</v>
      </c>
    </row>
    <row r="663" spans="1:11" s="14" customFormat="1" ht="36" x14ac:dyDescent="0.25">
      <c r="A663" s="27">
        <v>643</v>
      </c>
      <c r="B663" s="13" t="s">
        <v>1028</v>
      </c>
      <c r="C663" s="30"/>
      <c r="D663" s="11" t="s">
        <v>16</v>
      </c>
      <c r="E663" s="36">
        <v>0.5</v>
      </c>
      <c r="F663" s="11"/>
      <c r="G663" s="11"/>
      <c r="H663" s="11"/>
      <c r="I663" s="11"/>
      <c r="J663" s="12" t="s">
        <v>13</v>
      </c>
      <c r="K663" s="13" t="s">
        <v>17</v>
      </c>
    </row>
    <row r="664" spans="1:11" s="14" customFormat="1" ht="36" x14ac:dyDescent="0.25">
      <c r="A664" s="27">
        <v>644</v>
      </c>
      <c r="B664" s="13" t="s">
        <v>1029</v>
      </c>
      <c r="C664" s="30"/>
      <c r="D664" s="11" t="s">
        <v>16</v>
      </c>
      <c r="E664" s="36">
        <v>1</v>
      </c>
      <c r="F664" s="11"/>
      <c r="G664" s="11"/>
      <c r="H664" s="11"/>
      <c r="I664" s="11"/>
      <c r="J664" s="12" t="s">
        <v>13</v>
      </c>
      <c r="K664" s="13" t="s">
        <v>26</v>
      </c>
    </row>
    <row r="665" spans="1:11" s="14" customFormat="1" ht="36" x14ac:dyDescent="0.25">
      <c r="A665" s="27">
        <v>645</v>
      </c>
      <c r="B665" s="13" t="s">
        <v>1030</v>
      </c>
      <c r="C665" s="30"/>
      <c r="D665" s="11" t="s">
        <v>12</v>
      </c>
      <c r="E665" s="36">
        <v>10</v>
      </c>
      <c r="F665" s="11"/>
      <c r="G665" s="11"/>
      <c r="H665" s="11"/>
      <c r="I665" s="11"/>
      <c r="J665" s="12" t="s">
        <v>13</v>
      </c>
      <c r="K665" s="13" t="s">
        <v>26</v>
      </c>
    </row>
    <row r="666" spans="1:11" s="14" customFormat="1" ht="36" x14ac:dyDescent="0.25">
      <c r="A666" s="27">
        <v>646</v>
      </c>
      <c r="B666" s="13" t="s">
        <v>1031</v>
      </c>
      <c r="C666" s="30"/>
      <c r="D666" s="11" t="s">
        <v>12</v>
      </c>
      <c r="E666" s="36">
        <v>24</v>
      </c>
      <c r="F666" s="11"/>
      <c r="G666" s="11"/>
      <c r="H666" s="11"/>
      <c r="I666" s="11"/>
      <c r="J666" s="12" t="s">
        <v>13</v>
      </c>
      <c r="K666" s="13" t="s">
        <v>26</v>
      </c>
    </row>
    <row r="667" spans="1:11" s="14" customFormat="1" ht="72" x14ac:dyDescent="0.25">
      <c r="A667" s="27">
        <v>647</v>
      </c>
      <c r="B667" s="13" t="s">
        <v>1032</v>
      </c>
      <c r="C667" s="30"/>
      <c r="D667" s="11" t="s">
        <v>12</v>
      </c>
      <c r="E667" s="36">
        <v>1</v>
      </c>
      <c r="F667" s="11"/>
      <c r="G667" s="11"/>
      <c r="H667" s="11"/>
      <c r="I667" s="11"/>
      <c r="J667" s="12" t="s">
        <v>13</v>
      </c>
      <c r="K667" s="13" t="s">
        <v>26</v>
      </c>
    </row>
    <row r="668" spans="1:11" s="14" customFormat="1" ht="72" x14ac:dyDescent="0.25">
      <c r="A668" s="27">
        <v>648</v>
      </c>
      <c r="B668" s="13" t="s">
        <v>1033</v>
      </c>
      <c r="C668" s="30"/>
      <c r="D668" s="11" t="s">
        <v>12</v>
      </c>
      <c r="E668" s="36">
        <v>1</v>
      </c>
      <c r="F668" s="11"/>
      <c r="G668" s="11"/>
      <c r="H668" s="11"/>
      <c r="I668" s="11"/>
      <c r="J668" s="12" t="s">
        <v>13</v>
      </c>
      <c r="K668" s="13" t="s">
        <v>26</v>
      </c>
    </row>
    <row r="669" spans="1:11" s="14" customFormat="1" ht="54" x14ac:dyDescent="0.25">
      <c r="A669" s="27">
        <v>649</v>
      </c>
      <c r="B669" s="13" t="s">
        <v>1034</v>
      </c>
      <c r="C669" s="30"/>
      <c r="D669" s="11" t="s">
        <v>16</v>
      </c>
      <c r="E669" s="36">
        <v>18</v>
      </c>
      <c r="F669" s="11"/>
      <c r="G669" s="11"/>
      <c r="H669" s="11"/>
      <c r="I669" s="11"/>
      <c r="J669" s="12" t="s">
        <v>13</v>
      </c>
      <c r="K669" s="13" t="s">
        <v>17</v>
      </c>
    </row>
    <row r="670" spans="1:11" s="14" customFormat="1" ht="36" x14ac:dyDescent="0.25">
      <c r="A670" s="27">
        <v>650</v>
      </c>
      <c r="B670" s="13" t="s">
        <v>1035</v>
      </c>
      <c r="C670" s="30"/>
      <c r="D670" s="11" t="s">
        <v>12</v>
      </c>
      <c r="E670" s="36">
        <v>1</v>
      </c>
      <c r="F670" s="11"/>
      <c r="G670" s="11"/>
      <c r="H670" s="11"/>
      <c r="I670" s="11"/>
      <c r="J670" s="12" t="s">
        <v>13</v>
      </c>
      <c r="K670" s="13" t="s">
        <v>26</v>
      </c>
    </row>
    <row r="671" spans="1:11" s="14" customFormat="1" ht="36" x14ac:dyDescent="0.25">
      <c r="A671" s="27">
        <v>651</v>
      </c>
      <c r="B671" s="13" t="s">
        <v>1036</v>
      </c>
      <c r="C671" s="30"/>
      <c r="D671" s="11" t="s">
        <v>12</v>
      </c>
      <c r="E671" s="36">
        <v>1</v>
      </c>
      <c r="F671" s="11"/>
      <c r="G671" s="11"/>
      <c r="H671" s="11"/>
      <c r="I671" s="11"/>
      <c r="J671" s="12" t="s">
        <v>13</v>
      </c>
      <c r="K671" s="13" t="s">
        <v>26</v>
      </c>
    </row>
    <row r="672" spans="1:11" s="14" customFormat="1" ht="36" x14ac:dyDescent="0.25">
      <c r="A672" s="27">
        <v>652</v>
      </c>
      <c r="B672" s="13" t="s">
        <v>1037</v>
      </c>
      <c r="C672" s="30"/>
      <c r="D672" s="11" t="s">
        <v>16</v>
      </c>
      <c r="E672" s="36">
        <v>1</v>
      </c>
      <c r="F672" s="11"/>
      <c r="G672" s="11"/>
      <c r="H672" s="11"/>
      <c r="I672" s="11"/>
      <c r="J672" s="12" t="s">
        <v>13</v>
      </c>
      <c r="K672" s="13" t="s">
        <v>26</v>
      </c>
    </row>
    <row r="673" spans="1:11" s="14" customFormat="1" ht="18" x14ac:dyDescent="0.25">
      <c r="A673" s="27">
        <v>653</v>
      </c>
      <c r="B673" s="13" t="s">
        <v>1038</v>
      </c>
      <c r="C673" s="30"/>
      <c r="D673" s="11" t="s">
        <v>12</v>
      </c>
      <c r="E673" s="36">
        <v>1</v>
      </c>
      <c r="F673" s="11">
        <v>1.5</v>
      </c>
      <c r="G673" s="11" t="s">
        <v>1039</v>
      </c>
      <c r="H673" s="22">
        <v>46043</v>
      </c>
      <c r="I673" s="22">
        <v>46071</v>
      </c>
      <c r="J673" s="12" t="s">
        <v>22</v>
      </c>
      <c r="K673" s="13" t="s">
        <v>26</v>
      </c>
    </row>
    <row r="674" spans="1:11" s="14" customFormat="1" ht="72" x14ac:dyDescent="0.25">
      <c r="A674" s="27">
        <v>654</v>
      </c>
      <c r="B674" s="13" t="s">
        <v>1040</v>
      </c>
      <c r="C674" s="30"/>
      <c r="D674" s="11" t="s">
        <v>12</v>
      </c>
      <c r="E674" s="36">
        <v>1</v>
      </c>
      <c r="F674" s="11"/>
      <c r="G674" s="11"/>
      <c r="H674" s="11"/>
      <c r="I674" s="11"/>
      <c r="J674" s="12" t="s">
        <v>13</v>
      </c>
      <c r="K674" s="13" t="s">
        <v>17</v>
      </c>
    </row>
    <row r="675" spans="1:11" s="14" customFormat="1" ht="54" x14ac:dyDescent="0.25">
      <c r="A675" s="27">
        <v>655</v>
      </c>
      <c r="B675" s="13" t="s">
        <v>1024</v>
      </c>
      <c r="C675" s="30"/>
      <c r="D675" s="11" t="s">
        <v>12</v>
      </c>
      <c r="E675" s="36">
        <v>1</v>
      </c>
      <c r="F675" s="11"/>
      <c r="G675" s="11"/>
      <c r="H675" s="11"/>
      <c r="I675" s="11"/>
      <c r="J675" s="12" t="s">
        <v>13</v>
      </c>
      <c r="K675" s="13" t="s">
        <v>17</v>
      </c>
    </row>
    <row r="676" spans="1:11" s="14" customFormat="1" ht="18" x14ac:dyDescent="0.25">
      <c r="A676" s="27">
        <v>656</v>
      </c>
      <c r="B676" s="13" t="s">
        <v>1041</v>
      </c>
      <c r="C676" s="30"/>
      <c r="D676" s="11" t="s">
        <v>16</v>
      </c>
      <c r="E676" s="36">
        <v>2</v>
      </c>
      <c r="F676" s="11"/>
      <c r="G676" s="11"/>
      <c r="H676" s="11"/>
      <c r="I676" s="11"/>
      <c r="J676" s="12" t="s">
        <v>13</v>
      </c>
      <c r="K676" s="13" t="s">
        <v>26</v>
      </c>
    </row>
    <row r="677" spans="1:11" s="14" customFormat="1" ht="36" x14ac:dyDescent="0.25">
      <c r="A677" s="27">
        <v>657</v>
      </c>
      <c r="B677" s="24" t="s">
        <v>1042</v>
      </c>
      <c r="C677" s="30"/>
      <c r="D677" s="11" t="s">
        <v>16</v>
      </c>
      <c r="E677" s="36">
        <v>1</v>
      </c>
      <c r="F677" s="11"/>
      <c r="G677" s="11"/>
      <c r="H677" s="11"/>
      <c r="I677" s="11"/>
      <c r="J677" s="12" t="s">
        <v>13</v>
      </c>
      <c r="K677" s="13" t="s">
        <v>26</v>
      </c>
    </row>
    <row r="678" spans="1:11" s="14" customFormat="1" ht="36" x14ac:dyDescent="0.25">
      <c r="A678" s="27">
        <v>658</v>
      </c>
      <c r="B678" s="24" t="s">
        <v>1043</v>
      </c>
      <c r="C678" s="30"/>
      <c r="D678" s="11" t="s">
        <v>16</v>
      </c>
      <c r="E678" s="36">
        <v>1</v>
      </c>
      <c r="F678" s="11"/>
      <c r="G678" s="11"/>
      <c r="H678" s="11"/>
      <c r="I678" s="11"/>
      <c r="J678" s="12" t="s">
        <v>13</v>
      </c>
      <c r="K678" s="13" t="s">
        <v>26</v>
      </c>
    </row>
    <row r="679" spans="1:11" s="14" customFormat="1" ht="54" x14ac:dyDescent="0.25">
      <c r="A679" s="27">
        <v>659</v>
      </c>
      <c r="B679" s="24" t="s">
        <v>1044</v>
      </c>
      <c r="C679" s="30"/>
      <c r="D679" s="11" t="s">
        <v>12</v>
      </c>
      <c r="E679" s="36">
        <v>1</v>
      </c>
      <c r="F679" s="11"/>
      <c r="G679" s="11"/>
      <c r="H679" s="11"/>
      <c r="I679" s="11"/>
      <c r="J679" s="12" t="s">
        <v>13</v>
      </c>
      <c r="K679" s="13" t="s">
        <v>26</v>
      </c>
    </row>
    <row r="680" spans="1:11" s="14" customFormat="1" ht="18" x14ac:dyDescent="0.25">
      <c r="A680" s="27">
        <v>660</v>
      </c>
      <c r="B680" s="24" t="s">
        <v>1045</v>
      </c>
      <c r="C680" s="30"/>
      <c r="D680" s="11" t="s">
        <v>16</v>
      </c>
      <c r="E680" s="36">
        <v>1</v>
      </c>
      <c r="F680" s="11"/>
      <c r="G680" s="11"/>
      <c r="H680" s="11"/>
      <c r="I680" s="11"/>
      <c r="J680" s="12" t="s">
        <v>13</v>
      </c>
      <c r="K680" s="13" t="s">
        <v>26</v>
      </c>
    </row>
    <row r="681" spans="1:11" s="14" customFormat="1" ht="36" x14ac:dyDescent="0.25">
      <c r="A681" s="27">
        <v>661</v>
      </c>
      <c r="B681" s="24" t="s">
        <v>1046</v>
      </c>
      <c r="C681" s="30"/>
      <c r="D681" s="11" t="s">
        <v>16</v>
      </c>
      <c r="E681" s="36">
        <v>1</v>
      </c>
      <c r="F681" s="11"/>
      <c r="G681" s="11"/>
      <c r="H681" s="11"/>
      <c r="I681" s="11"/>
      <c r="J681" s="12" t="s">
        <v>13</v>
      </c>
      <c r="K681" s="13" t="s">
        <v>26</v>
      </c>
    </row>
    <row r="682" spans="1:11" s="14" customFormat="1" ht="43.7" customHeight="1" x14ac:dyDescent="0.25">
      <c r="A682" s="27">
        <v>662</v>
      </c>
      <c r="B682" s="31" t="s">
        <v>1047</v>
      </c>
      <c r="C682" s="30"/>
      <c r="D682" s="11" t="s">
        <v>12</v>
      </c>
      <c r="E682" s="36">
        <v>48</v>
      </c>
      <c r="F682" s="11"/>
      <c r="G682" s="11"/>
      <c r="H682" s="11"/>
      <c r="I682" s="11"/>
      <c r="J682" s="12" t="s">
        <v>13</v>
      </c>
      <c r="K682" s="13" t="s">
        <v>26</v>
      </c>
    </row>
    <row r="683" spans="1:11" s="34" customFormat="1" ht="18" x14ac:dyDescent="0.25">
      <c r="A683" s="32"/>
      <c r="B683" s="33" t="s">
        <v>1048</v>
      </c>
      <c r="C683" s="17"/>
      <c r="D683" s="17"/>
      <c r="E683" s="102"/>
      <c r="F683" s="17">
        <f>SUM(F684:F690)</f>
        <v>0</v>
      </c>
      <c r="G683" s="17"/>
      <c r="H683" s="17"/>
      <c r="I683" s="17"/>
      <c r="J683" s="17"/>
      <c r="K683" s="16"/>
    </row>
    <row r="684" spans="1:11" s="14" customFormat="1" ht="36" x14ac:dyDescent="0.25">
      <c r="A684" s="27">
        <v>663</v>
      </c>
      <c r="B684" s="35" t="s">
        <v>1049</v>
      </c>
      <c r="C684" s="30"/>
      <c r="D684" s="11" t="s">
        <v>16</v>
      </c>
      <c r="E684" s="36">
        <v>0</v>
      </c>
      <c r="F684" s="11"/>
      <c r="G684" s="11"/>
      <c r="H684" s="11"/>
      <c r="I684" s="11"/>
      <c r="J684" s="12" t="s">
        <v>13</v>
      </c>
      <c r="K684" s="13" t="s">
        <v>1050</v>
      </c>
    </row>
    <row r="685" spans="1:11" s="14" customFormat="1" ht="18" x14ac:dyDescent="0.25">
      <c r="A685" s="27">
        <v>664</v>
      </c>
      <c r="B685" s="35" t="s">
        <v>1051</v>
      </c>
      <c r="C685" s="30"/>
      <c r="D685" s="11" t="s">
        <v>123</v>
      </c>
      <c r="E685" s="36">
        <v>0</v>
      </c>
      <c r="F685" s="11"/>
      <c r="G685" s="11"/>
      <c r="H685" s="11"/>
      <c r="I685" s="11"/>
      <c r="J685" s="12" t="s">
        <v>13</v>
      </c>
      <c r="K685" s="13" t="s">
        <v>1050</v>
      </c>
    </row>
    <row r="686" spans="1:11" s="14" customFormat="1" ht="18" x14ac:dyDescent="0.25">
      <c r="A686" s="27">
        <v>665</v>
      </c>
      <c r="B686" s="35" t="s">
        <v>1052</v>
      </c>
      <c r="C686" s="30"/>
      <c r="D686" s="11" t="s">
        <v>16</v>
      </c>
      <c r="E686" s="36">
        <v>0</v>
      </c>
      <c r="F686" s="11"/>
      <c r="G686" s="11"/>
      <c r="H686" s="11"/>
      <c r="I686" s="11"/>
      <c r="J686" s="12" t="s">
        <v>13</v>
      </c>
      <c r="K686" s="13" t="s">
        <v>1050</v>
      </c>
    </row>
    <row r="687" spans="1:11" s="14" customFormat="1" ht="18" x14ac:dyDescent="0.25">
      <c r="A687" s="27">
        <v>666</v>
      </c>
      <c r="B687" s="35" t="s">
        <v>1053</v>
      </c>
      <c r="C687" s="30"/>
      <c r="D687" s="11" t="s">
        <v>12</v>
      </c>
      <c r="E687" s="36">
        <v>0</v>
      </c>
      <c r="F687" s="11"/>
      <c r="G687" s="11"/>
      <c r="H687" s="11"/>
      <c r="I687" s="11"/>
      <c r="J687" s="12" t="s">
        <v>13</v>
      </c>
      <c r="K687" s="13" t="s">
        <v>1050</v>
      </c>
    </row>
    <row r="688" spans="1:11" s="14" customFormat="1" ht="18" x14ac:dyDescent="0.25">
      <c r="A688" s="27">
        <v>667</v>
      </c>
      <c r="B688" s="35" t="s">
        <v>1054</v>
      </c>
      <c r="C688" s="30"/>
      <c r="D688" s="11" t="s">
        <v>16</v>
      </c>
      <c r="E688" s="36">
        <v>0</v>
      </c>
      <c r="F688" s="11"/>
      <c r="G688" s="11"/>
      <c r="H688" s="11"/>
      <c r="I688" s="11"/>
      <c r="J688" s="12" t="s">
        <v>13</v>
      </c>
      <c r="K688" s="13" t="s">
        <v>1050</v>
      </c>
    </row>
    <row r="689" spans="1:11" s="14" customFormat="1" ht="18" x14ac:dyDescent="0.25">
      <c r="A689" s="27">
        <v>668</v>
      </c>
      <c r="B689" s="35" t="s">
        <v>1055</v>
      </c>
      <c r="C689" s="30"/>
      <c r="D689" s="11" t="s">
        <v>12</v>
      </c>
      <c r="E689" s="36">
        <v>0</v>
      </c>
      <c r="F689" s="11"/>
      <c r="G689" s="11"/>
      <c r="H689" s="11"/>
      <c r="I689" s="11"/>
      <c r="J689" s="12" t="s">
        <v>13</v>
      </c>
      <c r="K689" s="13" t="s">
        <v>1050</v>
      </c>
    </row>
    <row r="690" spans="1:11" s="14" customFormat="1" ht="18" x14ac:dyDescent="0.25">
      <c r="A690" s="27">
        <v>669</v>
      </c>
      <c r="B690" s="35" t="s">
        <v>1056</v>
      </c>
      <c r="C690" s="30"/>
      <c r="D690" s="11" t="s">
        <v>16</v>
      </c>
      <c r="E690" s="36">
        <v>0</v>
      </c>
      <c r="F690" s="11"/>
      <c r="G690" s="11"/>
      <c r="H690" s="11"/>
      <c r="I690" s="11"/>
      <c r="J690" s="12" t="s">
        <v>13</v>
      </c>
      <c r="K690" s="13" t="s">
        <v>1050</v>
      </c>
    </row>
    <row r="691" spans="1:11" s="20" customFormat="1" ht="18" x14ac:dyDescent="0.25">
      <c r="A691" s="28"/>
      <c r="B691" s="29" t="s">
        <v>1057</v>
      </c>
      <c r="C691" s="17">
        <f>SUM(E692:E727)</f>
        <v>60.8</v>
      </c>
      <c r="D691" s="18"/>
      <c r="E691" s="15"/>
      <c r="F691" s="17">
        <f>SUM(F692:F727)</f>
        <v>10</v>
      </c>
      <c r="G691" s="18"/>
      <c r="H691" s="18"/>
      <c r="I691" s="18"/>
      <c r="J691" s="18"/>
      <c r="K691" s="19"/>
    </row>
    <row r="692" spans="1:11" s="14" customFormat="1" ht="54" x14ac:dyDescent="0.25">
      <c r="A692" s="27">
        <v>670</v>
      </c>
      <c r="B692" s="24" t="s">
        <v>1058</v>
      </c>
      <c r="C692" s="89"/>
      <c r="D692" s="11" t="s">
        <v>12</v>
      </c>
      <c r="E692" s="36">
        <v>1</v>
      </c>
      <c r="F692" s="11"/>
      <c r="G692" s="11"/>
      <c r="H692" s="11"/>
      <c r="I692" s="11"/>
      <c r="J692" s="12" t="s">
        <v>13</v>
      </c>
      <c r="K692" s="13" t="s">
        <v>1059</v>
      </c>
    </row>
    <row r="693" spans="1:11" s="14" customFormat="1" ht="36" x14ac:dyDescent="0.25">
      <c r="A693" s="27">
        <v>671</v>
      </c>
      <c r="B693" s="13" t="s">
        <v>1060</v>
      </c>
      <c r="C693" s="89"/>
      <c r="D693" s="11" t="s">
        <v>16</v>
      </c>
      <c r="E693" s="36">
        <v>1</v>
      </c>
      <c r="F693" s="11"/>
      <c r="G693" s="11"/>
      <c r="H693" s="11"/>
      <c r="I693" s="11"/>
      <c r="J693" s="12" t="s">
        <v>13</v>
      </c>
      <c r="K693" s="13" t="s">
        <v>1059</v>
      </c>
    </row>
    <row r="694" spans="1:11" s="14" customFormat="1" ht="36" x14ac:dyDescent="0.25">
      <c r="A694" s="27">
        <v>672</v>
      </c>
      <c r="B694" s="13" t="s">
        <v>1061</v>
      </c>
      <c r="C694" s="89"/>
      <c r="D694" s="11" t="s">
        <v>12</v>
      </c>
      <c r="E694" s="36">
        <v>1</v>
      </c>
      <c r="F694" s="11"/>
      <c r="G694" s="11"/>
      <c r="H694" s="11"/>
      <c r="I694" s="11"/>
      <c r="J694" s="12" t="s">
        <v>13</v>
      </c>
      <c r="K694" s="13" t="s">
        <v>1059</v>
      </c>
    </row>
    <row r="695" spans="1:11" s="14" customFormat="1" ht="36" x14ac:dyDescent="0.25">
      <c r="A695" s="27">
        <v>673</v>
      </c>
      <c r="B695" s="13" t="s">
        <v>1062</v>
      </c>
      <c r="C695" s="89"/>
      <c r="D695" s="11" t="s">
        <v>16</v>
      </c>
      <c r="E695" s="36">
        <v>3</v>
      </c>
      <c r="F695" s="11">
        <v>2</v>
      </c>
      <c r="G695" s="11" t="s">
        <v>28</v>
      </c>
      <c r="H695" s="22">
        <v>45974</v>
      </c>
      <c r="I695" s="22">
        <v>45981</v>
      </c>
      <c r="J695" s="12" t="s">
        <v>22</v>
      </c>
      <c r="K695" s="13" t="s">
        <v>1059</v>
      </c>
    </row>
    <row r="696" spans="1:11" s="14" customFormat="1" ht="36" x14ac:dyDescent="0.25">
      <c r="A696" s="27">
        <v>674</v>
      </c>
      <c r="B696" s="13" t="s">
        <v>1063</v>
      </c>
      <c r="C696" s="89"/>
      <c r="D696" s="11" t="s">
        <v>16</v>
      </c>
      <c r="E696" s="36">
        <v>2</v>
      </c>
      <c r="F696" s="11"/>
      <c r="G696" s="11"/>
      <c r="H696" s="11"/>
      <c r="I696" s="11"/>
      <c r="J696" s="12" t="s">
        <v>13</v>
      </c>
      <c r="K696" s="13" t="s">
        <v>1059</v>
      </c>
    </row>
    <row r="697" spans="1:11" s="14" customFormat="1" ht="36" x14ac:dyDescent="0.25">
      <c r="A697" s="27">
        <v>675</v>
      </c>
      <c r="B697" s="13" t="s">
        <v>1064</v>
      </c>
      <c r="C697" s="89"/>
      <c r="D697" s="11" t="s">
        <v>16</v>
      </c>
      <c r="E697" s="36">
        <v>1</v>
      </c>
      <c r="F697" s="11"/>
      <c r="G697" s="11"/>
      <c r="H697" s="11"/>
      <c r="I697" s="11"/>
      <c r="J697" s="12" t="s">
        <v>13</v>
      </c>
      <c r="K697" s="13" t="s">
        <v>1059</v>
      </c>
    </row>
    <row r="698" spans="1:11" s="14" customFormat="1" ht="36" x14ac:dyDescent="0.25">
      <c r="A698" s="27">
        <v>676</v>
      </c>
      <c r="B698" s="13" t="s">
        <v>1065</v>
      </c>
      <c r="C698" s="89"/>
      <c r="D698" s="11" t="s">
        <v>669</v>
      </c>
      <c r="E698" s="36">
        <v>2</v>
      </c>
      <c r="F698" s="11"/>
      <c r="G698" s="11"/>
      <c r="H698" s="11"/>
      <c r="I698" s="11"/>
      <c r="J698" s="12" t="s">
        <v>13</v>
      </c>
      <c r="K698" s="13" t="s">
        <v>1059</v>
      </c>
    </row>
    <row r="699" spans="1:11" s="14" customFormat="1" ht="36" x14ac:dyDescent="0.25">
      <c r="A699" s="27">
        <v>677</v>
      </c>
      <c r="B699" s="13" t="s">
        <v>1066</v>
      </c>
      <c r="C699" s="89"/>
      <c r="D699" s="11" t="s">
        <v>16</v>
      </c>
      <c r="E699" s="36">
        <v>1</v>
      </c>
      <c r="F699" s="11"/>
      <c r="G699" s="11"/>
      <c r="H699" s="11"/>
      <c r="I699" s="11"/>
      <c r="J699" s="12" t="s">
        <v>13</v>
      </c>
      <c r="K699" s="13" t="s">
        <v>1059</v>
      </c>
    </row>
    <row r="700" spans="1:11" s="14" customFormat="1" ht="36" x14ac:dyDescent="0.25">
      <c r="A700" s="27">
        <v>678</v>
      </c>
      <c r="B700" s="13" t="s">
        <v>1067</v>
      </c>
      <c r="C700" s="89"/>
      <c r="D700" s="11" t="s">
        <v>12</v>
      </c>
      <c r="E700" s="36">
        <v>2</v>
      </c>
      <c r="F700" s="11"/>
      <c r="G700" s="11"/>
      <c r="H700" s="11"/>
      <c r="I700" s="11"/>
      <c r="J700" s="12" t="s">
        <v>1068</v>
      </c>
      <c r="K700" s="13" t="s">
        <v>1059</v>
      </c>
    </row>
    <row r="701" spans="1:11" s="14" customFormat="1" ht="36" x14ac:dyDescent="0.25">
      <c r="A701" s="27">
        <v>679</v>
      </c>
      <c r="B701" s="13" t="s">
        <v>1069</v>
      </c>
      <c r="C701" s="89"/>
      <c r="D701" s="11" t="s">
        <v>12</v>
      </c>
      <c r="E701" s="36">
        <v>1</v>
      </c>
      <c r="F701" s="11"/>
      <c r="G701" s="11"/>
      <c r="H701" s="11"/>
      <c r="I701" s="11"/>
      <c r="J701" s="12" t="s">
        <v>13</v>
      </c>
      <c r="K701" s="13" t="s">
        <v>1059</v>
      </c>
    </row>
    <row r="702" spans="1:11" s="14" customFormat="1" ht="36" x14ac:dyDescent="0.25">
      <c r="A702" s="27">
        <v>680</v>
      </c>
      <c r="B702" s="13" t="s">
        <v>1070</v>
      </c>
      <c r="C702" s="89"/>
      <c r="D702" s="11" t="s">
        <v>1071</v>
      </c>
      <c r="E702" s="36">
        <v>5</v>
      </c>
      <c r="F702" s="11"/>
      <c r="G702" s="11"/>
      <c r="H702" s="11"/>
      <c r="I702" s="11"/>
      <c r="J702" s="12" t="s">
        <v>13</v>
      </c>
      <c r="K702" s="13" t="s">
        <v>1059</v>
      </c>
    </row>
    <row r="703" spans="1:11" s="14" customFormat="1" ht="36" x14ac:dyDescent="0.25">
      <c r="A703" s="27">
        <v>681</v>
      </c>
      <c r="B703" s="13" t="s">
        <v>1072</v>
      </c>
      <c r="C703" s="89"/>
      <c r="D703" s="11" t="s">
        <v>1071</v>
      </c>
      <c r="E703" s="36">
        <v>2</v>
      </c>
      <c r="F703" s="11"/>
      <c r="G703" s="11"/>
      <c r="H703" s="11"/>
      <c r="I703" s="11"/>
      <c r="J703" s="12" t="s">
        <v>13</v>
      </c>
      <c r="K703" s="13" t="s">
        <v>1059</v>
      </c>
    </row>
    <row r="704" spans="1:11" s="14" customFormat="1" ht="36" x14ac:dyDescent="0.25">
      <c r="A704" s="27">
        <v>682</v>
      </c>
      <c r="B704" s="13" t="s">
        <v>1073</v>
      </c>
      <c r="C704" s="89"/>
      <c r="D704" s="11" t="s">
        <v>1071</v>
      </c>
      <c r="E704" s="36">
        <v>5</v>
      </c>
      <c r="F704" s="11"/>
      <c r="G704" s="11"/>
      <c r="H704" s="11"/>
      <c r="I704" s="11"/>
      <c r="J704" s="12" t="s">
        <v>13</v>
      </c>
      <c r="K704" s="13" t="s">
        <v>1059</v>
      </c>
    </row>
    <row r="705" spans="1:11" s="14" customFormat="1" ht="36" x14ac:dyDescent="0.25">
      <c r="A705" s="27">
        <v>683</v>
      </c>
      <c r="B705" s="13" t="s">
        <v>1074</v>
      </c>
      <c r="C705" s="89"/>
      <c r="D705" s="11" t="s">
        <v>12</v>
      </c>
      <c r="E705" s="36">
        <v>2</v>
      </c>
      <c r="F705" s="11"/>
      <c r="G705" s="11"/>
      <c r="H705" s="11"/>
      <c r="I705" s="11"/>
      <c r="J705" s="12" t="s">
        <v>13</v>
      </c>
      <c r="K705" s="13" t="s">
        <v>1059</v>
      </c>
    </row>
    <row r="706" spans="1:11" s="14" customFormat="1" ht="36" x14ac:dyDescent="0.25">
      <c r="A706" s="27">
        <v>684</v>
      </c>
      <c r="B706" s="13" t="s">
        <v>1075</v>
      </c>
      <c r="C706" s="89"/>
      <c r="D706" s="11" t="s">
        <v>16</v>
      </c>
      <c r="E706" s="36">
        <v>1</v>
      </c>
      <c r="F706" s="11"/>
      <c r="G706" s="11"/>
      <c r="H706" s="11"/>
      <c r="I706" s="11"/>
      <c r="J706" s="12" t="s">
        <v>13</v>
      </c>
      <c r="K706" s="13" t="s">
        <v>1059</v>
      </c>
    </row>
    <row r="707" spans="1:11" s="14" customFormat="1" ht="36" x14ac:dyDescent="0.25">
      <c r="A707" s="27">
        <v>685</v>
      </c>
      <c r="B707" s="13" t="s">
        <v>1076</v>
      </c>
      <c r="C707" s="89"/>
      <c r="D707" s="11" t="s">
        <v>12</v>
      </c>
      <c r="E707" s="36">
        <v>2</v>
      </c>
      <c r="F707" s="11"/>
      <c r="G707" s="11"/>
      <c r="H707" s="11"/>
      <c r="I707" s="11"/>
      <c r="J707" s="12" t="s">
        <v>13</v>
      </c>
      <c r="K707" s="13" t="s">
        <v>1059</v>
      </c>
    </row>
    <row r="708" spans="1:11" s="14" customFormat="1" ht="36" x14ac:dyDescent="0.25">
      <c r="A708" s="36">
        <v>686</v>
      </c>
      <c r="B708" s="13" t="s">
        <v>1077</v>
      </c>
      <c r="C708" s="89"/>
      <c r="D708" s="11" t="s">
        <v>12</v>
      </c>
      <c r="E708" s="36">
        <v>8</v>
      </c>
      <c r="F708" s="11">
        <v>8</v>
      </c>
      <c r="G708" s="11" t="s">
        <v>25</v>
      </c>
      <c r="H708" s="22">
        <v>46044</v>
      </c>
      <c r="I708" s="22">
        <v>46045</v>
      </c>
      <c r="J708" s="12" t="s">
        <v>22</v>
      </c>
      <c r="K708" s="13" t="s">
        <v>1059</v>
      </c>
    </row>
    <row r="709" spans="1:11" s="14" customFormat="1" ht="36" x14ac:dyDescent="0.25">
      <c r="A709" s="36">
        <v>687</v>
      </c>
      <c r="B709" s="13" t="s">
        <v>1078</v>
      </c>
      <c r="C709" s="89"/>
      <c r="D709" s="11" t="s">
        <v>16</v>
      </c>
      <c r="E709" s="36">
        <v>1</v>
      </c>
      <c r="F709" s="11"/>
      <c r="G709" s="11"/>
      <c r="H709" s="11"/>
      <c r="I709" s="11"/>
      <c r="J709" s="12" t="s">
        <v>13</v>
      </c>
      <c r="K709" s="13" t="s">
        <v>1059</v>
      </c>
    </row>
    <row r="710" spans="1:11" s="14" customFormat="1" ht="36" x14ac:dyDescent="0.25">
      <c r="A710" s="36">
        <v>688</v>
      </c>
      <c r="B710" s="13" t="s">
        <v>1079</v>
      </c>
      <c r="C710" s="89"/>
      <c r="D710" s="11" t="s">
        <v>16</v>
      </c>
      <c r="E710" s="36">
        <v>1</v>
      </c>
      <c r="F710" s="11"/>
      <c r="G710" s="11"/>
      <c r="H710" s="11"/>
      <c r="I710" s="11"/>
      <c r="J710" s="12" t="s">
        <v>13</v>
      </c>
      <c r="K710" s="13" t="s">
        <v>1059</v>
      </c>
    </row>
    <row r="711" spans="1:11" s="14" customFormat="1" ht="36" x14ac:dyDescent="0.25">
      <c r="A711" s="36">
        <v>689</v>
      </c>
      <c r="B711" s="13" t="s">
        <v>1080</v>
      </c>
      <c r="C711" s="89"/>
      <c r="D711" s="11" t="s">
        <v>16</v>
      </c>
      <c r="E711" s="36">
        <v>2</v>
      </c>
      <c r="F711" s="11"/>
      <c r="G711" s="11"/>
      <c r="H711" s="11"/>
      <c r="I711" s="11"/>
      <c r="J711" s="12" t="s">
        <v>13</v>
      </c>
      <c r="K711" s="13" t="s">
        <v>1059</v>
      </c>
    </row>
    <row r="712" spans="1:11" s="14" customFormat="1" ht="36" x14ac:dyDescent="0.25">
      <c r="A712" s="36">
        <v>690</v>
      </c>
      <c r="B712" s="13" t="s">
        <v>1081</v>
      </c>
      <c r="C712" s="89"/>
      <c r="D712" s="11" t="s">
        <v>16</v>
      </c>
      <c r="E712" s="36">
        <v>1</v>
      </c>
      <c r="F712" s="11"/>
      <c r="G712" s="11"/>
      <c r="H712" s="11"/>
      <c r="I712" s="11"/>
      <c r="J712" s="12" t="s">
        <v>13</v>
      </c>
      <c r="K712" s="13" t="s">
        <v>1059</v>
      </c>
    </row>
    <row r="713" spans="1:11" s="14" customFormat="1" ht="36" x14ac:dyDescent="0.25">
      <c r="A713" s="36">
        <v>691</v>
      </c>
      <c r="B713" s="13" t="s">
        <v>1082</v>
      </c>
      <c r="C713" s="89"/>
      <c r="D713" s="11" t="s">
        <v>12</v>
      </c>
      <c r="E713" s="36">
        <v>2</v>
      </c>
      <c r="F713" s="11"/>
      <c r="G713" s="11"/>
      <c r="H713" s="11"/>
      <c r="I713" s="11"/>
      <c r="J713" s="12" t="s">
        <v>13</v>
      </c>
      <c r="K713" s="13" t="s">
        <v>1059</v>
      </c>
    </row>
    <row r="714" spans="1:11" s="14" customFormat="1" ht="36" x14ac:dyDescent="0.25">
      <c r="A714" s="36">
        <v>692</v>
      </c>
      <c r="B714" s="13" t="s">
        <v>1083</v>
      </c>
      <c r="C714" s="89"/>
      <c r="D714" s="11" t="s">
        <v>12</v>
      </c>
      <c r="E714" s="36">
        <v>1</v>
      </c>
      <c r="F714" s="11"/>
      <c r="G714" s="11"/>
      <c r="H714" s="11"/>
      <c r="I714" s="11"/>
      <c r="J714" s="12" t="s">
        <v>13</v>
      </c>
      <c r="K714" s="13" t="s">
        <v>1059</v>
      </c>
    </row>
    <row r="715" spans="1:11" s="14" customFormat="1" ht="36" x14ac:dyDescent="0.25">
      <c r="A715" s="36">
        <v>693</v>
      </c>
      <c r="B715" s="13" t="s">
        <v>1084</v>
      </c>
      <c r="C715" s="89"/>
      <c r="D715" s="11" t="s">
        <v>12</v>
      </c>
      <c r="E715" s="36">
        <v>1</v>
      </c>
      <c r="F715" s="11"/>
      <c r="G715" s="11"/>
      <c r="H715" s="11"/>
      <c r="I715" s="11"/>
      <c r="J715" s="12" t="s">
        <v>13</v>
      </c>
      <c r="K715" s="13" t="s">
        <v>1059</v>
      </c>
    </row>
    <row r="716" spans="1:11" s="14" customFormat="1" ht="36" x14ac:dyDescent="0.25">
      <c r="A716" s="36">
        <v>694</v>
      </c>
      <c r="B716" s="13" t="s">
        <v>1085</v>
      </c>
      <c r="C716" s="89"/>
      <c r="D716" s="11" t="s">
        <v>12</v>
      </c>
      <c r="E716" s="36">
        <v>0.8</v>
      </c>
      <c r="F716" s="11"/>
      <c r="G716" s="11"/>
      <c r="H716" s="11"/>
      <c r="I716" s="11"/>
      <c r="J716" s="12" t="s">
        <v>13</v>
      </c>
      <c r="K716" s="13" t="s">
        <v>1059</v>
      </c>
    </row>
    <row r="717" spans="1:11" s="14" customFormat="1" ht="36" x14ac:dyDescent="0.25">
      <c r="A717" s="36">
        <v>695</v>
      </c>
      <c r="B717" s="13" t="s">
        <v>1086</v>
      </c>
      <c r="C717" s="89"/>
      <c r="D717" s="11" t="s">
        <v>12</v>
      </c>
      <c r="E717" s="36">
        <v>1</v>
      </c>
      <c r="F717" s="11"/>
      <c r="G717" s="11"/>
      <c r="H717" s="11"/>
      <c r="I717" s="11"/>
      <c r="J717" s="12" t="s">
        <v>13</v>
      </c>
      <c r="K717" s="13" t="s">
        <v>1059</v>
      </c>
    </row>
    <row r="718" spans="1:11" s="14" customFormat="1" ht="36" x14ac:dyDescent="0.25">
      <c r="A718" s="36">
        <v>696</v>
      </c>
      <c r="B718" s="13" t="s">
        <v>1087</v>
      </c>
      <c r="C718" s="89"/>
      <c r="D718" s="11" t="s">
        <v>16</v>
      </c>
      <c r="E718" s="36">
        <v>1</v>
      </c>
      <c r="F718" s="11"/>
      <c r="G718" s="11"/>
      <c r="H718" s="11"/>
      <c r="I718" s="11"/>
      <c r="J718" s="12" t="s">
        <v>13</v>
      </c>
      <c r="K718" s="13" t="s">
        <v>1059</v>
      </c>
    </row>
    <row r="719" spans="1:11" s="14" customFormat="1" ht="36" x14ac:dyDescent="0.25">
      <c r="A719" s="36">
        <v>697</v>
      </c>
      <c r="B719" s="13" t="s">
        <v>1088</v>
      </c>
      <c r="C719" s="89"/>
      <c r="D719" s="11" t="s">
        <v>16</v>
      </c>
      <c r="E719" s="36">
        <v>1</v>
      </c>
      <c r="F719" s="11"/>
      <c r="G719" s="11"/>
      <c r="H719" s="11"/>
      <c r="I719" s="11"/>
      <c r="J719" s="12" t="s">
        <v>13</v>
      </c>
      <c r="K719" s="13" t="s">
        <v>1059</v>
      </c>
    </row>
    <row r="720" spans="1:11" s="14" customFormat="1" ht="36" x14ac:dyDescent="0.25">
      <c r="A720" s="36">
        <v>698</v>
      </c>
      <c r="B720" s="13" t="s">
        <v>1089</v>
      </c>
      <c r="C720" s="89"/>
      <c r="D720" s="11" t="s">
        <v>16</v>
      </c>
      <c r="E720" s="36">
        <v>1</v>
      </c>
      <c r="F720" s="11"/>
      <c r="G720" s="11"/>
      <c r="H720" s="11"/>
      <c r="I720" s="11"/>
      <c r="J720" s="12" t="s">
        <v>13</v>
      </c>
      <c r="K720" s="13" t="s">
        <v>1059</v>
      </c>
    </row>
    <row r="721" spans="1:11" s="14" customFormat="1" ht="36" x14ac:dyDescent="0.25">
      <c r="A721" s="36">
        <v>699</v>
      </c>
      <c r="B721" s="13" t="s">
        <v>1090</v>
      </c>
      <c r="C721" s="89"/>
      <c r="D721" s="11" t="s">
        <v>16</v>
      </c>
      <c r="E721" s="36">
        <v>1</v>
      </c>
      <c r="F721" s="11"/>
      <c r="G721" s="11"/>
      <c r="H721" s="11"/>
      <c r="I721" s="11"/>
      <c r="J721" s="12" t="s">
        <v>13</v>
      </c>
      <c r="K721" s="13" t="s">
        <v>1059</v>
      </c>
    </row>
    <row r="722" spans="1:11" s="14" customFormat="1" ht="54" x14ac:dyDescent="0.25">
      <c r="A722" s="36">
        <v>700</v>
      </c>
      <c r="B722" s="35" t="s">
        <v>1091</v>
      </c>
      <c r="C722" s="89"/>
      <c r="D722" s="11" t="s">
        <v>16</v>
      </c>
      <c r="E722" s="36">
        <v>1</v>
      </c>
      <c r="F722" s="11"/>
      <c r="G722" s="11"/>
      <c r="H722" s="11"/>
      <c r="I722" s="11"/>
      <c r="J722" s="12" t="s">
        <v>13</v>
      </c>
      <c r="K722" s="13" t="s">
        <v>1059</v>
      </c>
    </row>
    <row r="723" spans="1:11" s="14" customFormat="1" ht="36" x14ac:dyDescent="0.25">
      <c r="A723" s="36">
        <v>701</v>
      </c>
      <c r="B723" s="37" t="s">
        <v>1092</v>
      </c>
      <c r="C723" s="89"/>
      <c r="D723" s="11" t="s">
        <v>12</v>
      </c>
      <c r="E723" s="36">
        <v>1</v>
      </c>
      <c r="F723" s="11"/>
      <c r="G723" s="11"/>
      <c r="H723" s="11"/>
      <c r="I723" s="11"/>
      <c r="J723" s="12" t="s">
        <v>13</v>
      </c>
      <c r="K723" s="13" t="s">
        <v>1059</v>
      </c>
    </row>
    <row r="724" spans="1:11" s="14" customFormat="1" ht="36" x14ac:dyDescent="0.25">
      <c r="A724" s="36">
        <v>702</v>
      </c>
      <c r="B724" s="37" t="s">
        <v>1093</v>
      </c>
      <c r="C724" s="89"/>
      <c r="D724" s="11" t="s">
        <v>16</v>
      </c>
      <c r="E724" s="36">
        <v>1</v>
      </c>
      <c r="F724" s="11"/>
      <c r="G724" s="11"/>
      <c r="H724" s="11"/>
      <c r="I724" s="11"/>
      <c r="J724" s="12" t="s">
        <v>13</v>
      </c>
      <c r="K724" s="13" t="s">
        <v>1059</v>
      </c>
    </row>
    <row r="725" spans="1:11" s="14" customFormat="1" ht="36" x14ac:dyDescent="0.25">
      <c r="A725" s="36">
        <v>703</v>
      </c>
      <c r="B725" s="37" t="s">
        <v>1094</v>
      </c>
      <c r="C725" s="89"/>
      <c r="D725" s="11" t="s">
        <v>12</v>
      </c>
      <c r="E725" s="36">
        <v>1</v>
      </c>
      <c r="F725" s="11"/>
      <c r="G725" s="11"/>
      <c r="H725" s="11"/>
      <c r="I725" s="11"/>
      <c r="J725" s="12" t="s">
        <v>13</v>
      </c>
      <c r="K725" s="13" t="s">
        <v>1059</v>
      </c>
    </row>
    <row r="726" spans="1:11" s="14" customFormat="1" ht="36" x14ac:dyDescent="0.25">
      <c r="A726" s="36">
        <v>704</v>
      </c>
      <c r="B726" s="37" t="s">
        <v>1095</v>
      </c>
      <c r="C726" s="89"/>
      <c r="D726" s="11" t="s">
        <v>16</v>
      </c>
      <c r="E726" s="36">
        <v>1</v>
      </c>
      <c r="F726" s="11"/>
      <c r="G726" s="11"/>
      <c r="H726" s="11"/>
      <c r="I726" s="11"/>
      <c r="J726" s="12" t="s">
        <v>13</v>
      </c>
      <c r="K726" s="13" t="s">
        <v>1059</v>
      </c>
    </row>
    <row r="727" spans="1:11" s="14" customFormat="1" ht="36" x14ac:dyDescent="0.25">
      <c r="A727" s="36">
        <v>705</v>
      </c>
      <c r="B727" s="37" t="s">
        <v>1096</v>
      </c>
      <c r="C727" s="89"/>
      <c r="D727" s="11" t="s">
        <v>16</v>
      </c>
      <c r="E727" s="36">
        <v>1</v>
      </c>
      <c r="F727" s="11"/>
      <c r="G727" s="11"/>
      <c r="H727" s="11"/>
      <c r="I727" s="11"/>
      <c r="J727" s="12" t="s">
        <v>13</v>
      </c>
      <c r="K727" s="13" t="s">
        <v>1059</v>
      </c>
    </row>
    <row r="728" spans="1:11" s="20" customFormat="1" ht="33.6" customHeight="1" x14ac:dyDescent="0.25">
      <c r="A728" s="15"/>
      <c r="B728" s="38" t="s">
        <v>1097</v>
      </c>
      <c r="C728" s="17">
        <f>SUM(E729:E745)</f>
        <v>15</v>
      </c>
      <c r="D728" s="18"/>
      <c r="E728" s="15"/>
      <c r="F728" s="17">
        <f>SUM(F729:F745)</f>
        <v>0</v>
      </c>
      <c r="G728" s="18"/>
      <c r="H728" s="18"/>
      <c r="I728" s="18"/>
      <c r="J728" s="18"/>
      <c r="K728" s="19"/>
    </row>
    <row r="729" spans="1:11" s="14" customFormat="1" ht="18" x14ac:dyDescent="0.25">
      <c r="A729" s="36">
        <v>706</v>
      </c>
      <c r="B729" s="39" t="s">
        <v>1098</v>
      </c>
      <c r="C729" s="84"/>
      <c r="D729" s="11"/>
      <c r="E729" s="36"/>
      <c r="F729" s="11"/>
      <c r="G729" s="11"/>
      <c r="H729" s="11"/>
      <c r="I729" s="11"/>
      <c r="J729" s="12" t="s">
        <v>13</v>
      </c>
      <c r="K729" s="13"/>
    </row>
    <row r="730" spans="1:11" s="14" customFormat="1" ht="36" x14ac:dyDescent="0.25">
      <c r="A730" s="36">
        <v>707</v>
      </c>
      <c r="B730" s="40" t="s">
        <v>1099</v>
      </c>
      <c r="C730" s="84"/>
      <c r="D730" s="11" t="s">
        <v>16</v>
      </c>
      <c r="E730" s="36">
        <v>1</v>
      </c>
      <c r="F730" s="11"/>
      <c r="G730" s="11"/>
      <c r="H730" s="11"/>
      <c r="I730" s="11"/>
      <c r="J730" s="12" t="s">
        <v>13</v>
      </c>
      <c r="K730" s="13" t="s">
        <v>1059</v>
      </c>
    </row>
    <row r="731" spans="1:11" s="14" customFormat="1" ht="36" x14ac:dyDescent="0.25">
      <c r="A731" s="36">
        <v>708</v>
      </c>
      <c r="B731" s="40" t="s">
        <v>1100</v>
      </c>
      <c r="C731" s="84"/>
      <c r="D731" s="11" t="s">
        <v>16</v>
      </c>
      <c r="E731" s="36">
        <v>1</v>
      </c>
      <c r="F731" s="11"/>
      <c r="G731" s="11"/>
      <c r="H731" s="11"/>
      <c r="I731" s="11"/>
      <c r="J731" s="12" t="s">
        <v>13</v>
      </c>
      <c r="K731" s="13" t="s">
        <v>1059</v>
      </c>
    </row>
    <row r="732" spans="1:11" s="14" customFormat="1" ht="36" x14ac:dyDescent="0.25">
      <c r="A732" s="36">
        <v>709</v>
      </c>
      <c r="B732" s="39" t="s">
        <v>1101</v>
      </c>
      <c r="C732" s="84"/>
      <c r="D732" s="11"/>
      <c r="E732" s="36"/>
      <c r="F732" s="11"/>
      <c r="G732" s="11"/>
      <c r="H732" s="11"/>
      <c r="I732" s="11"/>
      <c r="J732" s="12" t="s">
        <v>13</v>
      </c>
      <c r="K732" s="13" t="s">
        <v>1059</v>
      </c>
    </row>
    <row r="733" spans="1:11" s="14" customFormat="1" ht="36" x14ac:dyDescent="0.25">
      <c r="A733" s="36">
        <v>710</v>
      </c>
      <c r="B733" s="40" t="s">
        <v>1102</v>
      </c>
      <c r="C733" s="84"/>
      <c r="D733" s="11" t="s">
        <v>16</v>
      </c>
      <c r="E733" s="36">
        <v>1</v>
      </c>
      <c r="F733" s="11"/>
      <c r="G733" s="11"/>
      <c r="H733" s="11"/>
      <c r="I733" s="11"/>
      <c r="J733" s="12" t="s">
        <v>13</v>
      </c>
      <c r="K733" s="13" t="s">
        <v>1059</v>
      </c>
    </row>
    <row r="734" spans="1:11" s="14" customFormat="1" ht="36" x14ac:dyDescent="0.25">
      <c r="A734" s="36">
        <v>711</v>
      </c>
      <c r="B734" s="40" t="s">
        <v>1103</v>
      </c>
      <c r="C734" s="84"/>
      <c r="D734" s="11" t="s">
        <v>16</v>
      </c>
      <c r="E734" s="36">
        <v>1</v>
      </c>
      <c r="F734" s="11"/>
      <c r="G734" s="11"/>
      <c r="H734" s="11"/>
      <c r="I734" s="11"/>
      <c r="J734" s="12" t="s">
        <v>13</v>
      </c>
      <c r="K734" s="13" t="s">
        <v>1059</v>
      </c>
    </row>
    <row r="735" spans="1:11" s="14" customFormat="1" ht="36" x14ac:dyDescent="0.25">
      <c r="A735" s="36">
        <v>712</v>
      </c>
      <c r="B735" s="40" t="s">
        <v>1104</v>
      </c>
      <c r="C735" s="84"/>
      <c r="D735" s="11" t="s">
        <v>16</v>
      </c>
      <c r="E735" s="36">
        <v>1</v>
      </c>
      <c r="F735" s="11"/>
      <c r="G735" s="11"/>
      <c r="H735" s="11"/>
      <c r="I735" s="11"/>
      <c r="J735" s="12" t="s">
        <v>13</v>
      </c>
      <c r="K735" s="13" t="s">
        <v>1059</v>
      </c>
    </row>
    <row r="736" spans="1:11" s="14" customFormat="1" ht="36" x14ac:dyDescent="0.25">
      <c r="A736" s="36">
        <v>713</v>
      </c>
      <c r="B736" s="40" t="s">
        <v>1105</v>
      </c>
      <c r="C736" s="84"/>
      <c r="D736" s="11" t="s">
        <v>16</v>
      </c>
      <c r="E736" s="36">
        <v>1</v>
      </c>
      <c r="F736" s="11"/>
      <c r="G736" s="11"/>
      <c r="H736" s="11"/>
      <c r="I736" s="11"/>
      <c r="J736" s="12" t="s">
        <v>13</v>
      </c>
      <c r="K736" s="13" t="s">
        <v>1059</v>
      </c>
    </row>
    <row r="737" spans="1:11" s="14" customFormat="1" ht="36" x14ac:dyDescent="0.25">
      <c r="A737" s="36">
        <v>714</v>
      </c>
      <c r="B737" s="40" t="s">
        <v>1106</v>
      </c>
      <c r="C737" s="84"/>
      <c r="D737" s="11" t="s">
        <v>16</v>
      </c>
      <c r="E737" s="36">
        <v>1</v>
      </c>
      <c r="F737" s="11"/>
      <c r="G737" s="11"/>
      <c r="H737" s="11"/>
      <c r="I737" s="11"/>
      <c r="J737" s="12" t="s">
        <v>13</v>
      </c>
      <c r="K737" s="13" t="s">
        <v>1059</v>
      </c>
    </row>
    <row r="738" spans="1:11" s="14" customFormat="1" ht="36" x14ac:dyDescent="0.25">
      <c r="A738" s="36">
        <v>715</v>
      </c>
      <c r="B738" s="40" t="s">
        <v>1107</v>
      </c>
      <c r="C738" s="84"/>
      <c r="D738" s="11" t="s">
        <v>12</v>
      </c>
      <c r="E738" s="36">
        <v>1</v>
      </c>
      <c r="F738" s="11"/>
      <c r="G738" s="11"/>
      <c r="H738" s="11"/>
      <c r="I738" s="11"/>
      <c r="J738" s="12" t="s">
        <v>13</v>
      </c>
      <c r="K738" s="13" t="s">
        <v>1059</v>
      </c>
    </row>
    <row r="739" spans="1:11" s="14" customFormat="1" ht="36" x14ac:dyDescent="0.25">
      <c r="A739" s="36">
        <v>716</v>
      </c>
      <c r="B739" s="40" t="s">
        <v>1108</v>
      </c>
      <c r="C739" s="84"/>
      <c r="D739" s="11" t="s">
        <v>16</v>
      </c>
      <c r="E739" s="36">
        <v>1</v>
      </c>
      <c r="F739" s="11"/>
      <c r="G739" s="11"/>
      <c r="H739" s="11"/>
      <c r="I739" s="11"/>
      <c r="J739" s="12" t="s">
        <v>13</v>
      </c>
      <c r="K739" s="13" t="s">
        <v>1059</v>
      </c>
    </row>
    <row r="740" spans="1:11" s="14" customFormat="1" ht="36" x14ac:dyDescent="0.25">
      <c r="A740" s="36"/>
      <c r="B740" s="40" t="s">
        <v>1109</v>
      </c>
      <c r="C740" s="84"/>
      <c r="D740" s="11" t="s">
        <v>16</v>
      </c>
      <c r="E740" s="36">
        <v>1</v>
      </c>
      <c r="F740" s="11"/>
      <c r="G740" s="11"/>
      <c r="H740" s="11"/>
      <c r="I740" s="11"/>
      <c r="J740" s="12" t="s">
        <v>13</v>
      </c>
      <c r="K740" s="13" t="s">
        <v>1059</v>
      </c>
    </row>
    <row r="741" spans="1:11" s="14" customFormat="1" ht="36" x14ac:dyDescent="0.25">
      <c r="A741" s="36">
        <v>718</v>
      </c>
      <c r="B741" s="40" t="s">
        <v>1110</v>
      </c>
      <c r="C741" s="84"/>
      <c r="D741" s="11" t="s">
        <v>16</v>
      </c>
      <c r="E741" s="36">
        <v>1</v>
      </c>
      <c r="F741" s="11"/>
      <c r="G741" s="11"/>
      <c r="H741" s="11"/>
      <c r="I741" s="11"/>
      <c r="J741" s="12" t="s">
        <v>13</v>
      </c>
      <c r="K741" s="13" t="s">
        <v>1059</v>
      </c>
    </row>
    <row r="742" spans="1:11" s="14" customFormat="1" ht="36" x14ac:dyDescent="0.25">
      <c r="A742" s="36">
        <v>719</v>
      </c>
      <c r="B742" s="40" t="s">
        <v>1111</v>
      </c>
      <c r="C742" s="84"/>
      <c r="D742" s="11" t="s">
        <v>16</v>
      </c>
      <c r="E742" s="36">
        <v>1</v>
      </c>
      <c r="F742" s="11"/>
      <c r="G742" s="11"/>
      <c r="H742" s="11"/>
      <c r="I742" s="11"/>
      <c r="J742" s="12" t="s">
        <v>13</v>
      </c>
      <c r="K742" s="13" t="s">
        <v>1059</v>
      </c>
    </row>
    <row r="743" spans="1:11" s="14" customFormat="1" ht="36" x14ac:dyDescent="0.25">
      <c r="A743" s="36">
        <v>720</v>
      </c>
      <c r="B743" s="40" t="s">
        <v>1112</v>
      </c>
      <c r="C743" s="84"/>
      <c r="D743" s="11" t="s">
        <v>16</v>
      </c>
      <c r="E743" s="36">
        <v>1</v>
      </c>
      <c r="F743" s="11"/>
      <c r="G743" s="11"/>
      <c r="H743" s="11"/>
      <c r="I743" s="11"/>
      <c r="J743" s="12" t="s">
        <v>13</v>
      </c>
      <c r="K743" s="13" t="s">
        <v>1059</v>
      </c>
    </row>
    <row r="744" spans="1:11" s="14" customFormat="1" ht="36" x14ac:dyDescent="0.25">
      <c r="A744" s="36">
        <v>721</v>
      </c>
      <c r="B744" s="40" t="s">
        <v>1113</v>
      </c>
      <c r="C744" s="84"/>
      <c r="D744" s="11" t="s">
        <v>16</v>
      </c>
      <c r="E744" s="36">
        <v>1</v>
      </c>
      <c r="F744" s="11"/>
      <c r="G744" s="11"/>
      <c r="H744" s="11"/>
      <c r="I744" s="11"/>
      <c r="J744" s="12" t="s">
        <v>13</v>
      </c>
      <c r="K744" s="13" t="s">
        <v>1059</v>
      </c>
    </row>
    <row r="745" spans="1:11" s="14" customFormat="1" ht="36" x14ac:dyDescent="0.25">
      <c r="A745" s="36">
        <v>722</v>
      </c>
      <c r="B745" s="40" t="s">
        <v>1114</v>
      </c>
      <c r="C745" s="84"/>
      <c r="D745" s="11" t="s">
        <v>16</v>
      </c>
      <c r="E745" s="36">
        <v>1</v>
      </c>
      <c r="F745" s="11"/>
      <c r="G745" s="11"/>
      <c r="H745" s="11"/>
      <c r="I745" s="11"/>
      <c r="J745" s="12" t="s">
        <v>13</v>
      </c>
      <c r="K745" s="13" t="s">
        <v>1059</v>
      </c>
    </row>
    <row r="746" spans="1:11" s="44" customFormat="1" ht="119.25" customHeight="1" x14ac:dyDescent="0.25">
      <c r="A746" s="41">
        <v>723</v>
      </c>
      <c r="B746" s="42" t="s">
        <v>1115</v>
      </c>
      <c r="C746" s="43"/>
      <c r="D746" s="43" t="s">
        <v>12</v>
      </c>
      <c r="E746" s="41">
        <v>60</v>
      </c>
      <c r="F746" s="43"/>
      <c r="G746" s="43"/>
      <c r="H746" s="43"/>
      <c r="I746" s="43"/>
      <c r="J746" s="12" t="s">
        <v>13</v>
      </c>
      <c r="K746" s="43"/>
    </row>
    <row r="747" spans="1:11" s="44" customFormat="1" ht="119.25" customHeight="1" x14ac:dyDescent="0.25">
      <c r="A747" s="41">
        <v>724</v>
      </c>
      <c r="B747" s="42" t="s">
        <v>1116</v>
      </c>
      <c r="C747" s="43"/>
      <c r="D747" s="43" t="s">
        <v>12</v>
      </c>
      <c r="E747" s="41">
        <v>60</v>
      </c>
      <c r="F747" s="43"/>
      <c r="G747" s="43"/>
      <c r="H747" s="43"/>
      <c r="I747" s="43"/>
      <c r="J747" s="12" t="s">
        <v>13</v>
      </c>
      <c r="K747" s="43"/>
    </row>
    <row r="748" spans="1:11" s="44" customFormat="1" ht="91.7" customHeight="1" x14ac:dyDescent="0.25">
      <c r="A748" s="41">
        <v>725</v>
      </c>
      <c r="B748" s="42" t="s">
        <v>1117</v>
      </c>
      <c r="C748" s="43"/>
      <c r="D748" s="43" t="s">
        <v>12</v>
      </c>
      <c r="E748" s="41">
        <v>60</v>
      </c>
      <c r="F748" s="43"/>
      <c r="G748" s="43"/>
      <c r="H748" s="43"/>
      <c r="I748" s="43"/>
      <c r="J748" s="12" t="s">
        <v>13</v>
      </c>
      <c r="K748" s="43"/>
    </row>
    <row r="749" spans="1:11" s="44" customFormat="1" ht="91.7" customHeight="1" x14ac:dyDescent="0.25">
      <c r="A749" s="41">
        <v>726</v>
      </c>
      <c r="B749" s="42" t="s">
        <v>1118</v>
      </c>
      <c r="C749" s="43"/>
      <c r="D749" s="43" t="s">
        <v>16</v>
      </c>
      <c r="E749" s="41">
        <v>10</v>
      </c>
      <c r="F749" s="43"/>
      <c r="G749" s="43"/>
      <c r="H749" s="45"/>
      <c r="I749" s="45"/>
      <c r="J749" s="12" t="s">
        <v>13</v>
      </c>
      <c r="K749" s="43"/>
    </row>
    <row r="750" spans="1:11" s="44" customFormat="1" ht="91.7" customHeight="1" x14ac:dyDescent="0.25">
      <c r="A750" s="41">
        <v>727</v>
      </c>
      <c r="B750" s="42" t="s">
        <v>1119</v>
      </c>
      <c r="C750" s="43"/>
      <c r="D750" s="43" t="s">
        <v>12</v>
      </c>
      <c r="E750" s="41">
        <v>5</v>
      </c>
      <c r="F750" s="43"/>
      <c r="G750" s="43"/>
      <c r="H750" s="43"/>
      <c r="I750" s="43"/>
      <c r="J750" s="12" t="s">
        <v>13</v>
      </c>
      <c r="K750" s="43"/>
    </row>
    <row r="751" spans="1:11" s="44" customFormat="1" ht="91.7" customHeight="1" x14ac:dyDescent="0.25">
      <c r="A751" s="41">
        <v>728</v>
      </c>
      <c r="B751" s="42" t="s">
        <v>1120</v>
      </c>
      <c r="C751" s="43"/>
      <c r="D751" s="43" t="s">
        <v>12</v>
      </c>
      <c r="E751" s="41">
        <v>5</v>
      </c>
      <c r="F751" s="43"/>
      <c r="G751" s="43"/>
      <c r="H751" s="43"/>
      <c r="I751" s="43"/>
      <c r="J751" s="12" t="s">
        <v>13</v>
      </c>
      <c r="K751" s="43"/>
    </row>
    <row r="752" spans="1:11" s="44" customFormat="1" ht="91.7" customHeight="1" x14ac:dyDescent="0.25">
      <c r="A752" s="41">
        <v>729</v>
      </c>
      <c r="B752" s="42" t="s">
        <v>1121</v>
      </c>
      <c r="C752" s="43"/>
      <c r="D752" s="43" t="s">
        <v>16</v>
      </c>
      <c r="E752" s="41">
        <v>20</v>
      </c>
      <c r="F752" s="43"/>
      <c r="G752" s="43"/>
      <c r="H752" s="43"/>
      <c r="I752" s="43"/>
      <c r="J752" s="12" t="s">
        <v>13</v>
      </c>
      <c r="K752" s="43"/>
    </row>
    <row r="753" spans="1:11" s="44" customFormat="1" ht="91.7" customHeight="1" x14ac:dyDescent="0.25">
      <c r="A753" s="41">
        <v>730</v>
      </c>
      <c r="B753" s="42" t="s">
        <v>1122</v>
      </c>
      <c r="C753" s="43"/>
      <c r="D753" s="43" t="s">
        <v>16</v>
      </c>
      <c r="E753" s="41">
        <v>10</v>
      </c>
      <c r="F753" s="43"/>
      <c r="G753" s="43"/>
      <c r="H753" s="43"/>
      <c r="I753" s="43"/>
      <c r="J753" s="12" t="s">
        <v>13</v>
      </c>
      <c r="K753" s="43"/>
    </row>
    <row r="754" spans="1:11" s="44" customFormat="1" ht="91.7" customHeight="1" x14ac:dyDescent="0.25">
      <c r="A754" s="41">
        <v>731</v>
      </c>
      <c r="B754" s="42" t="s">
        <v>1029</v>
      </c>
      <c r="C754" s="43"/>
      <c r="D754" s="43" t="s">
        <v>16</v>
      </c>
      <c r="E754" s="41">
        <v>1</v>
      </c>
      <c r="F754" s="43"/>
      <c r="G754" s="43"/>
      <c r="H754" s="43"/>
      <c r="I754" s="43"/>
      <c r="J754" s="12" t="s">
        <v>13</v>
      </c>
      <c r="K754" s="43"/>
    </row>
    <row r="755" spans="1:11" s="14" customFormat="1" ht="30.6" customHeight="1" x14ac:dyDescent="0.25">
      <c r="A755" s="36"/>
      <c r="B755" s="46" t="s">
        <v>1123</v>
      </c>
      <c r="C755" s="11"/>
      <c r="D755" s="11"/>
      <c r="E755" s="36"/>
      <c r="F755" s="11"/>
      <c r="G755" s="11"/>
      <c r="H755" s="11"/>
      <c r="I755" s="11"/>
      <c r="J755" s="11"/>
      <c r="K755" s="11"/>
    </row>
    <row r="756" spans="1:11" s="14" customFormat="1" ht="19.7" customHeight="1" x14ac:dyDescent="0.25">
      <c r="A756" s="36"/>
      <c r="B756" s="46" t="s">
        <v>1124</v>
      </c>
      <c r="C756" s="11"/>
      <c r="D756" s="11"/>
      <c r="E756" s="36"/>
      <c r="F756" s="11"/>
      <c r="G756" s="11"/>
      <c r="H756" s="11"/>
      <c r="I756" s="11"/>
      <c r="J756" s="12" t="s">
        <v>13</v>
      </c>
      <c r="K756" s="11"/>
    </row>
    <row r="757" spans="1:11" s="14" customFormat="1" ht="79.7" customHeight="1" x14ac:dyDescent="0.25">
      <c r="A757" s="36">
        <v>732</v>
      </c>
      <c r="B757" s="21" t="s">
        <v>1125</v>
      </c>
      <c r="C757" s="11"/>
      <c r="D757" s="11" t="s">
        <v>12</v>
      </c>
      <c r="E757" s="36">
        <v>2</v>
      </c>
      <c r="F757" s="11"/>
      <c r="G757" s="11"/>
      <c r="H757" s="11"/>
      <c r="I757" s="11"/>
      <c r="J757" s="12" t="s">
        <v>13</v>
      </c>
      <c r="K757" s="11"/>
    </row>
    <row r="758" spans="1:11" s="14" customFormat="1" ht="54" x14ac:dyDescent="0.25">
      <c r="A758" s="36">
        <v>734</v>
      </c>
      <c r="B758" s="40" t="s">
        <v>1126</v>
      </c>
      <c r="C758" s="11"/>
      <c r="D758" s="11" t="s">
        <v>12</v>
      </c>
      <c r="E758" s="36">
        <v>1</v>
      </c>
      <c r="F758" s="11"/>
      <c r="G758" s="11"/>
      <c r="H758" s="11"/>
      <c r="I758" s="11"/>
      <c r="J758" s="12" t="s">
        <v>13</v>
      </c>
      <c r="K758" s="11"/>
    </row>
    <row r="759" spans="1:11" s="14" customFormat="1" ht="54" x14ac:dyDescent="0.25">
      <c r="A759" s="36">
        <v>735</v>
      </c>
      <c r="B759" s="40" t="s">
        <v>1127</v>
      </c>
      <c r="C759" s="11"/>
      <c r="D759" s="11" t="s">
        <v>12</v>
      </c>
      <c r="E759" s="36">
        <v>1</v>
      </c>
      <c r="F759" s="11"/>
      <c r="G759" s="11"/>
      <c r="H759" s="11"/>
      <c r="I759" s="11"/>
      <c r="J759" s="12" t="s">
        <v>13</v>
      </c>
      <c r="K759" s="11"/>
    </row>
    <row r="760" spans="1:11" s="14" customFormat="1" ht="36" x14ac:dyDescent="0.25">
      <c r="A760" s="36">
        <v>736</v>
      </c>
      <c r="B760" s="40" t="s">
        <v>1128</v>
      </c>
      <c r="C760" s="11"/>
      <c r="D760" s="11" t="s">
        <v>1129</v>
      </c>
      <c r="E760" s="36">
        <v>1.5</v>
      </c>
      <c r="F760" s="11"/>
      <c r="G760" s="11"/>
      <c r="H760" s="11"/>
      <c r="I760" s="11"/>
      <c r="J760" s="12" t="s">
        <v>13</v>
      </c>
      <c r="K760" s="11"/>
    </row>
    <row r="761" spans="1:11" s="14" customFormat="1" ht="36" x14ac:dyDescent="0.25">
      <c r="A761" s="36">
        <v>737</v>
      </c>
      <c r="B761" s="40" t="s">
        <v>1130</v>
      </c>
      <c r="C761" s="11"/>
      <c r="D761" s="11" t="s">
        <v>12</v>
      </c>
      <c r="E761" s="36">
        <v>4</v>
      </c>
      <c r="F761" s="11"/>
      <c r="G761" s="11"/>
      <c r="H761" s="11"/>
      <c r="I761" s="11"/>
      <c r="J761" s="12" t="s">
        <v>13</v>
      </c>
      <c r="K761" s="11"/>
    </row>
    <row r="762" spans="1:11" s="14" customFormat="1" ht="36" x14ac:dyDescent="0.25">
      <c r="A762" s="36">
        <v>738</v>
      </c>
      <c r="B762" s="40" t="s">
        <v>1131</v>
      </c>
      <c r="C762" s="11"/>
      <c r="D762" s="11" t="s">
        <v>12</v>
      </c>
      <c r="E762" s="36">
        <v>1</v>
      </c>
      <c r="F762" s="11"/>
      <c r="G762" s="11"/>
      <c r="H762" s="11"/>
      <c r="I762" s="11"/>
      <c r="J762" s="12" t="s">
        <v>13</v>
      </c>
      <c r="K762" s="11"/>
    </row>
    <row r="763" spans="1:11" s="14" customFormat="1" ht="36" x14ac:dyDescent="0.25">
      <c r="A763" s="36">
        <v>739</v>
      </c>
      <c r="B763" s="40" t="s">
        <v>1132</v>
      </c>
      <c r="C763" s="11"/>
      <c r="D763" s="11" t="s">
        <v>1129</v>
      </c>
      <c r="E763" s="36">
        <v>1</v>
      </c>
      <c r="F763" s="11"/>
      <c r="G763" s="11"/>
      <c r="H763" s="11"/>
      <c r="I763" s="11"/>
      <c r="J763" s="12" t="s">
        <v>13</v>
      </c>
      <c r="K763" s="11"/>
    </row>
    <row r="764" spans="1:11" s="14" customFormat="1" ht="54" x14ac:dyDescent="0.25">
      <c r="A764" s="47">
        <v>740</v>
      </c>
      <c r="B764" s="48" t="s">
        <v>1133</v>
      </c>
      <c r="C764" s="11"/>
      <c r="D764" s="11" t="s">
        <v>12</v>
      </c>
      <c r="E764" s="36"/>
      <c r="F764" s="11"/>
      <c r="G764" s="11"/>
      <c r="H764" s="11"/>
      <c r="I764" s="11"/>
      <c r="J764" s="12" t="s">
        <v>13</v>
      </c>
      <c r="K764" s="11"/>
    </row>
    <row r="765" spans="1:11" s="14" customFormat="1" ht="72" x14ac:dyDescent="0.25">
      <c r="A765" s="36">
        <v>741</v>
      </c>
      <c r="B765" s="48" t="s">
        <v>1134</v>
      </c>
      <c r="C765" s="11"/>
      <c r="D765" s="11" t="s">
        <v>12</v>
      </c>
      <c r="E765" s="36">
        <v>7</v>
      </c>
      <c r="F765" s="11"/>
      <c r="G765" s="11"/>
      <c r="H765" s="11"/>
      <c r="I765" s="11"/>
      <c r="J765" s="12" t="s">
        <v>13</v>
      </c>
      <c r="K765" s="11"/>
    </row>
    <row r="766" spans="1:11" s="14" customFormat="1" ht="36" x14ac:dyDescent="0.25">
      <c r="A766" s="36">
        <v>742</v>
      </c>
      <c r="B766" s="48" t="s">
        <v>1135</v>
      </c>
      <c r="C766" s="11"/>
      <c r="D766" s="11" t="s">
        <v>12</v>
      </c>
      <c r="E766" s="36">
        <v>1</v>
      </c>
      <c r="F766" s="11"/>
      <c r="G766" s="11"/>
      <c r="H766" s="11"/>
      <c r="I766" s="11"/>
      <c r="J766" s="12" t="s">
        <v>13</v>
      </c>
      <c r="K766" s="11"/>
    </row>
    <row r="767" spans="1:11" s="14" customFormat="1" ht="54" x14ac:dyDescent="0.25">
      <c r="A767" s="36">
        <v>743</v>
      </c>
      <c r="B767" s="48" t="s">
        <v>1136</v>
      </c>
      <c r="C767" s="11"/>
      <c r="D767" s="11" t="s">
        <v>12</v>
      </c>
      <c r="E767" s="36">
        <v>21</v>
      </c>
      <c r="F767" s="11"/>
      <c r="G767" s="11"/>
      <c r="H767" s="11"/>
      <c r="I767" s="11"/>
      <c r="J767" s="12" t="s">
        <v>13</v>
      </c>
      <c r="K767" s="11"/>
    </row>
    <row r="768" spans="1:11" s="14" customFormat="1" ht="54" x14ac:dyDescent="0.25">
      <c r="A768" s="36">
        <v>744</v>
      </c>
      <c r="B768" s="48" t="s">
        <v>1137</v>
      </c>
      <c r="C768" s="11"/>
      <c r="D768" s="11" t="s">
        <v>12</v>
      </c>
      <c r="E768" s="36">
        <v>1</v>
      </c>
      <c r="F768" s="11"/>
      <c r="G768" s="11"/>
      <c r="H768" s="11"/>
      <c r="I768" s="11"/>
      <c r="J768" s="12" t="s">
        <v>13</v>
      </c>
      <c r="K768" s="11"/>
    </row>
    <row r="769" spans="1:11" s="14" customFormat="1" ht="54" x14ac:dyDescent="0.25">
      <c r="A769" s="36">
        <v>745</v>
      </c>
      <c r="B769" s="48" t="s">
        <v>1138</v>
      </c>
      <c r="C769" s="11"/>
      <c r="D769" s="11" t="s">
        <v>12</v>
      </c>
      <c r="E769" s="36">
        <v>1</v>
      </c>
      <c r="F769" s="11"/>
      <c r="G769" s="11"/>
      <c r="H769" s="11"/>
      <c r="I769" s="11"/>
      <c r="J769" s="12" t="s">
        <v>13</v>
      </c>
      <c r="K769" s="11"/>
    </row>
    <row r="770" spans="1:11" s="14" customFormat="1" ht="54" x14ac:dyDescent="0.25">
      <c r="A770" s="36">
        <v>745</v>
      </c>
      <c r="B770" s="48" t="s">
        <v>1139</v>
      </c>
      <c r="C770" s="11"/>
      <c r="D770" s="11" t="s">
        <v>996</v>
      </c>
      <c r="E770" s="36">
        <v>2</v>
      </c>
      <c r="F770" s="11"/>
      <c r="G770" s="11"/>
      <c r="H770" s="11"/>
      <c r="I770" s="11"/>
      <c r="J770" s="12" t="s">
        <v>13</v>
      </c>
      <c r="K770" s="11"/>
    </row>
    <row r="771" spans="1:11" s="14" customFormat="1" ht="54" x14ac:dyDescent="0.25">
      <c r="A771" s="36">
        <v>746</v>
      </c>
      <c r="B771" s="48" t="s">
        <v>1140</v>
      </c>
      <c r="C771" s="11"/>
      <c r="D771" s="11" t="s">
        <v>12</v>
      </c>
      <c r="E771" s="36">
        <v>1</v>
      </c>
      <c r="F771" s="11"/>
      <c r="G771" s="11"/>
      <c r="H771" s="11"/>
      <c r="I771" s="11"/>
      <c r="J771" s="12" t="s">
        <v>13</v>
      </c>
      <c r="K771" s="11"/>
    </row>
    <row r="772" spans="1:11" s="14" customFormat="1" ht="36" x14ac:dyDescent="0.25">
      <c r="A772" s="36">
        <v>747</v>
      </c>
      <c r="B772" s="48" t="s">
        <v>1141</v>
      </c>
      <c r="C772" s="11"/>
      <c r="D772" s="11" t="s">
        <v>12</v>
      </c>
      <c r="E772" s="36">
        <v>1</v>
      </c>
      <c r="F772" s="11"/>
      <c r="G772" s="11"/>
      <c r="H772" s="11"/>
      <c r="I772" s="11"/>
      <c r="J772" s="12" t="s">
        <v>13</v>
      </c>
      <c r="K772" s="11"/>
    </row>
    <row r="773" spans="1:11" s="14" customFormat="1" ht="54" x14ac:dyDescent="0.25">
      <c r="A773" s="36">
        <v>748</v>
      </c>
      <c r="B773" s="48" t="s">
        <v>1142</v>
      </c>
      <c r="C773" s="11"/>
      <c r="D773" s="11" t="s">
        <v>12</v>
      </c>
      <c r="E773" s="36">
        <v>1</v>
      </c>
      <c r="F773" s="11"/>
      <c r="G773" s="11"/>
      <c r="H773" s="11"/>
      <c r="I773" s="11"/>
      <c r="J773" s="12" t="s">
        <v>13</v>
      </c>
      <c r="K773" s="11"/>
    </row>
    <row r="774" spans="1:11" s="14" customFormat="1" ht="54" x14ac:dyDescent="0.25">
      <c r="A774" s="47">
        <v>749</v>
      </c>
      <c r="B774" s="40" t="s">
        <v>1143</v>
      </c>
      <c r="C774" s="11"/>
      <c r="D774" s="11" t="s">
        <v>12</v>
      </c>
      <c r="E774" s="36">
        <v>1</v>
      </c>
      <c r="F774" s="11"/>
      <c r="G774" s="11"/>
      <c r="H774" s="11"/>
      <c r="I774" s="11"/>
      <c r="J774" s="12" t="s">
        <v>13</v>
      </c>
      <c r="K774" s="11"/>
    </row>
    <row r="775" spans="1:11" s="14" customFormat="1" ht="24.6" customHeight="1" x14ac:dyDescent="0.25">
      <c r="A775" s="36"/>
      <c r="B775" s="46" t="s">
        <v>1144</v>
      </c>
      <c r="C775" s="11"/>
      <c r="D775" s="11"/>
      <c r="E775" s="36"/>
      <c r="F775" s="11"/>
      <c r="G775" s="11"/>
      <c r="H775" s="11"/>
      <c r="I775" s="11"/>
      <c r="J775" s="12" t="s">
        <v>13</v>
      </c>
      <c r="K775" s="11"/>
    </row>
    <row r="776" spans="1:11" s="14" customFormat="1" ht="54" x14ac:dyDescent="0.25">
      <c r="A776" s="36">
        <v>750</v>
      </c>
      <c r="B776" s="40" t="s">
        <v>1145</v>
      </c>
      <c r="C776" s="11"/>
      <c r="D776" s="11" t="s">
        <v>12</v>
      </c>
      <c r="E776" s="36">
        <v>2</v>
      </c>
      <c r="F776" s="11"/>
      <c r="G776" s="11"/>
      <c r="H776" s="11"/>
      <c r="I776" s="11"/>
      <c r="J776" s="12" t="s">
        <v>13</v>
      </c>
      <c r="K776" s="11"/>
    </row>
    <row r="777" spans="1:11" s="14" customFormat="1" ht="72" x14ac:dyDescent="0.25">
      <c r="A777" s="36">
        <v>751</v>
      </c>
      <c r="B777" s="40" t="s">
        <v>1146</v>
      </c>
      <c r="C777" s="11"/>
      <c r="D777" s="11" t="s">
        <v>12</v>
      </c>
      <c r="E777" s="36">
        <v>160</v>
      </c>
      <c r="F777" s="11"/>
      <c r="G777" s="11"/>
      <c r="H777" s="11"/>
      <c r="I777" s="11"/>
      <c r="J777" s="12" t="s">
        <v>13</v>
      </c>
      <c r="K777" s="11"/>
    </row>
    <row r="778" spans="1:11" s="14" customFormat="1" ht="54" x14ac:dyDescent="0.25">
      <c r="A778" s="36">
        <v>752</v>
      </c>
      <c r="B778" s="40" t="s">
        <v>1147</v>
      </c>
      <c r="C778" s="11"/>
      <c r="D778" s="11" t="s">
        <v>12</v>
      </c>
      <c r="E778" s="36">
        <v>2</v>
      </c>
      <c r="F778" s="11"/>
      <c r="G778" s="11"/>
      <c r="H778" s="11"/>
      <c r="I778" s="11"/>
      <c r="J778" s="12" t="s">
        <v>13</v>
      </c>
      <c r="K778" s="11"/>
    </row>
    <row r="779" spans="1:11" s="14" customFormat="1" ht="54" x14ac:dyDescent="0.25">
      <c r="A779" s="36">
        <v>753</v>
      </c>
      <c r="B779" s="40" t="s">
        <v>1148</v>
      </c>
      <c r="C779" s="11"/>
      <c r="D779" s="13" t="s">
        <v>1149</v>
      </c>
      <c r="E779" s="36">
        <v>7.6</v>
      </c>
      <c r="F779" s="11"/>
      <c r="G779" s="11"/>
      <c r="H779" s="11"/>
      <c r="I779" s="11"/>
      <c r="J779" s="12" t="s">
        <v>13</v>
      </c>
      <c r="K779" s="11"/>
    </row>
    <row r="780" spans="1:11" s="14" customFormat="1" ht="36" x14ac:dyDescent="0.25">
      <c r="A780" s="36">
        <v>754</v>
      </c>
      <c r="B780" s="40" t="s">
        <v>1150</v>
      </c>
      <c r="C780" s="11"/>
      <c r="D780" s="11" t="s">
        <v>12</v>
      </c>
      <c r="E780" s="36">
        <v>2</v>
      </c>
      <c r="F780" s="11"/>
      <c r="G780" s="11"/>
      <c r="H780" s="11"/>
      <c r="I780" s="11"/>
      <c r="J780" s="12" t="s">
        <v>13</v>
      </c>
      <c r="K780" s="11"/>
    </row>
    <row r="781" spans="1:11" s="14" customFormat="1" ht="42" customHeight="1" x14ac:dyDescent="0.25">
      <c r="A781" s="36">
        <v>755</v>
      </c>
      <c r="B781" s="40" t="s">
        <v>1151</v>
      </c>
      <c r="C781" s="11"/>
      <c r="D781" s="11" t="s">
        <v>12</v>
      </c>
      <c r="E781" s="36">
        <v>3</v>
      </c>
      <c r="F781" s="11"/>
      <c r="G781" s="11"/>
      <c r="H781" s="11"/>
      <c r="I781" s="11"/>
      <c r="J781" s="12" t="s">
        <v>13</v>
      </c>
      <c r="K781" s="11"/>
    </row>
    <row r="782" spans="1:11" s="14" customFormat="1" ht="54" x14ac:dyDescent="0.25">
      <c r="A782" s="36">
        <v>756</v>
      </c>
      <c r="B782" s="40" t="s">
        <v>1152</v>
      </c>
      <c r="C782" s="11"/>
      <c r="D782" s="13" t="s">
        <v>1153</v>
      </c>
      <c r="E782" s="36">
        <v>32</v>
      </c>
      <c r="F782" s="11"/>
      <c r="G782" s="11"/>
      <c r="H782" s="11"/>
      <c r="I782" s="11"/>
      <c r="J782" s="12" t="s">
        <v>13</v>
      </c>
      <c r="K782" s="11"/>
    </row>
    <row r="783" spans="1:11" s="14" customFormat="1" ht="72" x14ac:dyDescent="0.25">
      <c r="A783" s="36">
        <v>757</v>
      </c>
      <c r="B783" s="49" t="s">
        <v>1154</v>
      </c>
      <c r="C783" s="11"/>
      <c r="D783" s="13" t="s">
        <v>1153</v>
      </c>
      <c r="E783" s="36">
        <v>80</v>
      </c>
      <c r="F783" s="11"/>
      <c r="G783" s="11"/>
      <c r="H783" s="11"/>
      <c r="I783" s="11"/>
      <c r="J783" s="12" t="s">
        <v>13</v>
      </c>
      <c r="K783" s="11"/>
    </row>
    <row r="784" spans="1:11" s="14" customFormat="1" ht="66" customHeight="1" x14ac:dyDescent="0.25">
      <c r="A784" s="36">
        <v>758</v>
      </c>
      <c r="B784" s="40" t="s">
        <v>1155</v>
      </c>
      <c r="C784" s="11"/>
      <c r="D784" s="11" t="s">
        <v>16</v>
      </c>
      <c r="E784" s="36">
        <v>2</v>
      </c>
      <c r="F784" s="11"/>
      <c r="G784" s="11"/>
      <c r="H784" s="11"/>
      <c r="I784" s="11"/>
      <c r="J784" s="12" t="s">
        <v>13</v>
      </c>
      <c r="K784" s="11"/>
    </row>
    <row r="785" spans="1:11" s="14" customFormat="1" ht="52.7" customHeight="1" x14ac:dyDescent="0.25">
      <c r="A785" s="36">
        <v>759</v>
      </c>
      <c r="B785" s="40" t="s">
        <v>1156</v>
      </c>
      <c r="C785" s="11"/>
      <c r="D785" s="11" t="s">
        <v>12</v>
      </c>
      <c r="E785" s="36">
        <v>2</v>
      </c>
      <c r="F785" s="11"/>
      <c r="G785" s="11"/>
      <c r="H785" s="11"/>
      <c r="I785" s="11"/>
      <c r="J785" s="12" t="s">
        <v>13</v>
      </c>
      <c r="K785" s="11"/>
    </row>
    <row r="786" spans="1:11" s="14" customFormat="1" ht="49.35" customHeight="1" x14ac:dyDescent="0.25">
      <c r="A786" s="36">
        <v>760</v>
      </c>
      <c r="B786" s="40" t="s">
        <v>1157</v>
      </c>
      <c r="C786" s="11"/>
      <c r="D786" s="11" t="s">
        <v>12</v>
      </c>
      <c r="E786" s="36">
        <v>1</v>
      </c>
      <c r="F786" s="11"/>
      <c r="G786" s="11"/>
      <c r="H786" s="11"/>
      <c r="I786" s="11"/>
      <c r="J786" s="12" t="s">
        <v>13</v>
      </c>
      <c r="K786" s="11"/>
    </row>
    <row r="787" spans="1:11" s="14" customFormat="1" ht="61.7" customHeight="1" x14ac:dyDescent="0.25">
      <c r="A787" s="36">
        <v>761</v>
      </c>
      <c r="B787" s="49" t="s">
        <v>1158</v>
      </c>
      <c r="C787" s="11"/>
      <c r="D787" s="11" t="s">
        <v>1159</v>
      </c>
      <c r="E787" s="36">
        <v>24</v>
      </c>
      <c r="F787" s="11"/>
      <c r="G787" s="11"/>
      <c r="H787" s="11"/>
      <c r="I787" s="11"/>
      <c r="J787" s="12" t="s">
        <v>13</v>
      </c>
      <c r="K787" s="11"/>
    </row>
    <row r="788" spans="1:11" s="14" customFormat="1" ht="59.45" customHeight="1" x14ac:dyDescent="0.25">
      <c r="A788" s="36">
        <v>762</v>
      </c>
      <c r="B788" s="40" t="s">
        <v>1160</v>
      </c>
      <c r="C788" s="11"/>
      <c r="D788" s="11" t="s">
        <v>1159</v>
      </c>
      <c r="E788" s="36">
        <v>9</v>
      </c>
      <c r="F788" s="11"/>
      <c r="G788" s="11"/>
      <c r="H788" s="11"/>
      <c r="I788" s="11"/>
      <c r="J788" s="12" t="s">
        <v>13</v>
      </c>
      <c r="K788" s="11"/>
    </row>
    <row r="789" spans="1:11" s="14" customFormat="1" ht="55.7" customHeight="1" x14ac:dyDescent="0.25">
      <c r="A789" s="36">
        <v>763</v>
      </c>
      <c r="B789" s="40" t="s">
        <v>1161</v>
      </c>
      <c r="C789" s="11"/>
      <c r="D789" s="11" t="s">
        <v>12</v>
      </c>
      <c r="E789" s="36">
        <v>1</v>
      </c>
      <c r="F789" s="11"/>
      <c r="G789" s="11"/>
      <c r="H789" s="11"/>
      <c r="I789" s="11"/>
      <c r="J789" s="12" t="s">
        <v>13</v>
      </c>
      <c r="K789" s="11"/>
    </row>
    <row r="790" spans="1:11" s="14" customFormat="1" ht="48.6" customHeight="1" x14ac:dyDescent="0.25">
      <c r="A790" s="36">
        <v>764</v>
      </c>
      <c r="B790" s="40" t="s">
        <v>1162</v>
      </c>
      <c r="C790" s="11"/>
      <c r="D790" s="11" t="s">
        <v>804</v>
      </c>
      <c r="E790" s="36">
        <v>1</v>
      </c>
      <c r="F790" s="11"/>
      <c r="G790" s="11"/>
      <c r="H790" s="11"/>
      <c r="I790" s="11"/>
      <c r="J790" s="12" t="s">
        <v>13</v>
      </c>
      <c r="K790" s="11"/>
    </row>
    <row r="791" spans="1:11" s="14" customFormat="1" ht="39.6" customHeight="1" x14ac:dyDescent="0.25">
      <c r="A791" s="36">
        <v>765</v>
      </c>
      <c r="B791" s="40" t="s">
        <v>1163</v>
      </c>
      <c r="C791" s="11"/>
      <c r="D791" s="11" t="s">
        <v>12</v>
      </c>
      <c r="E791" s="36">
        <v>1</v>
      </c>
      <c r="F791" s="11"/>
      <c r="G791" s="11"/>
      <c r="H791" s="11"/>
      <c r="I791" s="11"/>
      <c r="J791" s="12" t="s">
        <v>13</v>
      </c>
      <c r="K791" s="11"/>
    </row>
    <row r="792" spans="1:11" s="14" customFormat="1" ht="50.45" customHeight="1" x14ac:dyDescent="0.25">
      <c r="A792" s="36">
        <v>766</v>
      </c>
      <c r="B792" s="40" t="s">
        <v>1164</v>
      </c>
      <c r="C792" s="11"/>
      <c r="D792" s="11" t="s">
        <v>669</v>
      </c>
      <c r="E792" s="36">
        <v>3</v>
      </c>
      <c r="F792" s="11"/>
      <c r="G792" s="11"/>
      <c r="H792" s="11"/>
      <c r="I792" s="11"/>
      <c r="J792" s="12" t="s">
        <v>13</v>
      </c>
      <c r="K792" s="11"/>
    </row>
    <row r="793" spans="1:11" s="14" customFormat="1" ht="36" x14ac:dyDescent="0.25">
      <c r="A793" s="36">
        <v>767</v>
      </c>
      <c r="B793" s="40" t="s">
        <v>1165</v>
      </c>
      <c r="C793" s="11"/>
      <c r="D793" s="11" t="s">
        <v>12</v>
      </c>
      <c r="E793" s="36">
        <v>1</v>
      </c>
      <c r="F793" s="11"/>
      <c r="G793" s="11"/>
      <c r="H793" s="11"/>
      <c r="I793" s="11"/>
      <c r="J793" s="12" t="s">
        <v>13</v>
      </c>
      <c r="K793" s="11"/>
    </row>
    <row r="794" spans="1:11" s="14" customFormat="1" ht="36" x14ac:dyDescent="0.25">
      <c r="A794" s="47"/>
      <c r="B794" s="40" t="s">
        <v>1166</v>
      </c>
      <c r="C794" s="11"/>
      <c r="D794" s="11" t="s">
        <v>12</v>
      </c>
      <c r="E794" s="36">
        <v>1</v>
      </c>
      <c r="F794" s="11"/>
      <c r="G794" s="11"/>
      <c r="H794" s="11"/>
      <c r="I794" s="11"/>
      <c r="J794" s="12" t="s">
        <v>13</v>
      </c>
      <c r="K794" s="11"/>
    </row>
    <row r="795" spans="1:11" s="14" customFormat="1" ht="36" x14ac:dyDescent="0.25">
      <c r="A795" s="36">
        <v>768</v>
      </c>
      <c r="B795" s="40" t="s">
        <v>1167</v>
      </c>
      <c r="C795" s="11"/>
      <c r="D795" s="11" t="s">
        <v>16</v>
      </c>
      <c r="E795" s="36">
        <v>6</v>
      </c>
      <c r="F795" s="11"/>
      <c r="G795" s="11"/>
      <c r="H795" s="11"/>
      <c r="I795" s="11"/>
      <c r="J795" s="12" t="s">
        <v>13</v>
      </c>
      <c r="K795" s="11"/>
    </row>
    <row r="796" spans="1:11" s="14" customFormat="1" ht="64.349999999999994" customHeight="1" x14ac:dyDescent="0.25">
      <c r="A796" s="36">
        <v>769</v>
      </c>
      <c r="B796" s="40" t="s">
        <v>1168</v>
      </c>
      <c r="C796" s="11"/>
      <c r="D796" s="11" t="s">
        <v>12</v>
      </c>
      <c r="E796" s="36">
        <v>1</v>
      </c>
      <c r="F796" s="11"/>
      <c r="G796" s="11"/>
      <c r="H796" s="11"/>
      <c r="I796" s="11"/>
      <c r="J796" s="12" t="s">
        <v>13</v>
      </c>
      <c r="K796" s="11"/>
    </row>
    <row r="797" spans="1:11" s="14" customFormat="1" ht="48" customHeight="1" x14ac:dyDescent="0.25">
      <c r="A797" s="36">
        <v>770</v>
      </c>
      <c r="B797" s="40" t="s">
        <v>1169</v>
      </c>
      <c r="C797" s="11"/>
      <c r="D797" s="11" t="s">
        <v>12</v>
      </c>
      <c r="E797" s="36">
        <v>1</v>
      </c>
      <c r="F797" s="11"/>
      <c r="G797" s="11"/>
      <c r="H797" s="11"/>
      <c r="I797" s="11"/>
      <c r="J797" s="12" t="s">
        <v>13</v>
      </c>
      <c r="K797" s="11"/>
    </row>
    <row r="798" spans="1:11" s="14" customFormat="1" ht="56.45" customHeight="1" x14ac:dyDescent="0.25">
      <c r="A798" s="36">
        <v>771</v>
      </c>
      <c r="B798" s="40" t="s">
        <v>1170</v>
      </c>
      <c r="C798" s="11"/>
      <c r="D798" s="11" t="s">
        <v>1171</v>
      </c>
      <c r="E798" s="36">
        <v>3</v>
      </c>
      <c r="F798" s="11"/>
      <c r="G798" s="11"/>
      <c r="H798" s="11"/>
      <c r="I798" s="11"/>
      <c r="J798" s="12" t="s">
        <v>13</v>
      </c>
      <c r="K798" s="11"/>
    </row>
    <row r="799" spans="1:11" s="14" customFormat="1" ht="96.6" customHeight="1" x14ac:dyDescent="0.25">
      <c r="A799" s="36">
        <v>772</v>
      </c>
      <c r="B799" s="40" t="s">
        <v>1172</v>
      </c>
      <c r="C799" s="11"/>
      <c r="D799" s="11" t="s">
        <v>16</v>
      </c>
      <c r="E799" s="36">
        <v>2</v>
      </c>
      <c r="F799" s="11"/>
      <c r="G799" s="11"/>
      <c r="H799" s="11"/>
      <c r="I799" s="11"/>
      <c r="J799" s="12" t="s">
        <v>13</v>
      </c>
      <c r="K799" s="11"/>
    </row>
    <row r="800" spans="1:11" s="14" customFormat="1" ht="74.45" customHeight="1" x14ac:dyDescent="0.25">
      <c r="A800" s="36">
        <v>773</v>
      </c>
      <c r="B800" s="40" t="s">
        <v>1173</v>
      </c>
      <c r="C800" s="11"/>
      <c r="D800" s="11" t="s">
        <v>12</v>
      </c>
      <c r="E800" s="36">
        <v>5</v>
      </c>
      <c r="F800" s="11"/>
      <c r="G800" s="11"/>
      <c r="H800" s="11"/>
      <c r="I800" s="11"/>
      <c r="J800" s="12" t="s">
        <v>13</v>
      </c>
      <c r="K800" s="11"/>
    </row>
    <row r="801" spans="1:11" s="14" customFormat="1" ht="80.45" customHeight="1" x14ac:dyDescent="0.25">
      <c r="A801" s="47">
        <v>774</v>
      </c>
      <c r="B801" s="40" t="s">
        <v>1174</v>
      </c>
      <c r="C801" s="11"/>
      <c r="D801" s="11" t="s">
        <v>16</v>
      </c>
      <c r="E801" s="36">
        <v>1</v>
      </c>
      <c r="F801" s="11"/>
      <c r="G801" s="11"/>
      <c r="H801" s="11"/>
      <c r="I801" s="11"/>
      <c r="J801" s="12" t="s">
        <v>13</v>
      </c>
      <c r="K801" s="11"/>
    </row>
    <row r="802" spans="1:11" s="14" customFormat="1" ht="36.6" customHeight="1" x14ac:dyDescent="0.25">
      <c r="A802" s="36">
        <v>775</v>
      </c>
      <c r="B802" s="40" t="s">
        <v>1175</v>
      </c>
      <c r="C802" s="11"/>
      <c r="D802" s="11" t="s">
        <v>12</v>
      </c>
      <c r="E802" s="36">
        <v>1</v>
      </c>
      <c r="F802" s="11"/>
      <c r="G802" s="11"/>
      <c r="H802" s="11"/>
      <c r="I802" s="11"/>
      <c r="J802" s="12" t="s">
        <v>13</v>
      </c>
      <c r="K802" s="11"/>
    </row>
    <row r="803" spans="1:11" s="14" customFormat="1" ht="38.450000000000003" customHeight="1" x14ac:dyDescent="0.25">
      <c r="A803" s="36">
        <v>776</v>
      </c>
      <c r="B803" s="40" t="s">
        <v>1176</v>
      </c>
      <c r="C803" s="11"/>
      <c r="D803" s="11" t="s">
        <v>12</v>
      </c>
      <c r="E803" s="36">
        <v>6</v>
      </c>
      <c r="F803" s="11"/>
      <c r="G803" s="11"/>
      <c r="H803" s="11"/>
      <c r="I803" s="11"/>
      <c r="J803" s="12" t="s">
        <v>13</v>
      </c>
      <c r="K803" s="11"/>
    </row>
    <row r="804" spans="1:11" s="14" customFormat="1" ht="67.7" customHeight="1" x14ac:dyDescent="0.25">
      <c r="A804" s="36">
        <v>777</v>
      </c>
      <c r="B804" s="49" t="s">
        <v>1177</v>
      </c>
      <c r="C804" s="11"/>
      <c r="D804" s="11" t="s">
        <v>1178</v>
      </c>
      <c r="E804" s="36">
        <v>3.5</v>
      </c>
      <c r="F804" s="11"/>
      <c r="G804" s="11"/>
      <c r="H804" s="11"/>
      <c r="I804" s="11"/>
      <c r="J804" s="12" t="s">
        <v>13</v>
      </c>
      <c r="K804" s="11"/>
    </row>
    <row r="805" spans="1:11" s="14" customFormat="1" ht="97.5" customHeight="1" x14ac:dyDescent="0.25">
      <c r="A805" s="36">
        <v>778</v>
      </c>
      <c r="B805" s="49" t="s">
        <v>1179</v>
      </c>
      <c r="C805" s="11"/>
      <c r="D805" s="11" t="s">
        <v>1159</v>
      </c>
      <c r="E805" s="36">
        <v>1000</v>
      </c>
      <c r="F805" s="11"/>
      <c r="G805" s="11"/>
      <c r="H805" s="11"/>
      <c r="I805" s="11"/>
      <c r="J805" s="12" t="s">
        <v>13</v>
      </c>
      <c r="K805" s="11"/>
    </row>
    <row r="806" spans="1:11" s="14" customFormat="1" ht="70.349999999999994" customHeight="1" x14ac:dyDescent="0.25">
      <c r="A806" s="36">
        <v>779</v>
      </c>
      <c r="B806" s="40" t="s">
        <v>1180</v>
      </c>
      <c r="C806" s="11"/>
      <c r="D806" s="11" t="s">
        <v>1181</v>
      </c>
      <c r="E806" s="36">
        <v>70</v>
      </c>
      <c r="F806" s="11"/>
      <c r="G806" s="11"/>
      <c r="H806" s="11"/>
      <c r="I806" s="11"/>
      <c r="J806" s="12" t="s">
        <v>13</v>
      </c>
      <c r="K806" s="11"/>
    </row>
    <row r="807" spans="1:11" s="14" customFormat="1" ht="75.599999999999994" customHeight="1" x14ac:dyDescent="0.25">
      <c r="A807" s="36">
        <v>780</v>
      </c>
      <c r="B807" s="40" t="s">
        <v>1182</v>
      </c>
      <c r="C807" s="11"/>
      <c r="D807" s="11" t="s">
        <v>1159</v>
      </c>
      <c r="E807" s="36">
        <v>12</v>
      </c>
      <c r="F807" s="11"/>
      <c r="G807" s="11"/>
      <c r="H807" s="11"/>
      <c r="I807" s="11"/>
      <c r="J807" s="12" t="s">
        <v>13</v>
      </c>
      <c r="K807" s="11"/>
    </row>
    <row r="808" spans="1:11" s="14" customFormat="1" ht="54" x14ac:dyDescent="0.25">
      <c r="A808" s="36">
        <v>781</v>
      </c>
      <c r="B808" s="40" t="s">
        <v>1183</v>
      </c>
      <c r="C808" s="11"/>
      <c r="D808" s="11" t="s">
        <v>1159</v>
      </c>
      <c r="E808" s="36">
        <v>6</v>
      </c>
      <c r="F808" s="11"/>
      <c r="G808" s="11"/>
      <c r="H808" s="11"/>
      <c r="I808" s="11"/>
      <c r="J808" s="12" t="s">
        <v>13</v>
      </c>
      <c r="K808" s="11"/>
    </row>
    <row r="809" spans="1:11" s="14" customFormat="1" ht="54" x14ac:dyDescent="0.25">
      <c r="A809" s="36">
        <v>782</v>
      </c>
      <c r="B809" s="40" t="s">
        <v>1184</v>
      </c>
      <c r="C809" s="11"/>
      <c r="D809" s="11" t="s">
        <v>12</v>
      </c>
      <c r="E809" s="36">
        <v>15</v>
      </c>
      <c r="F809" s="11"/>
      <c r="G809" s="11"/>
      <c r="H809" s="11"/>
      <c r="I809" s="11"/>
      <c r="J809" s="12" t="s">
        <v>13</v>
      </c>
      <c r="K809" s="11"/>
    </row>
    <row r="810" spans="1:11" s="14" customFormat="1" ht="72" x14ac:dyDescent="0.25">
      <c r="A810" s="47">
        <v>783</v>
      </c>
      <c r="B810" s="40" t="s">
        <v>1185</v>
      </c>
      <c r="C810" s="11"/>
      <c r="D810" s="11" t="s">
        <v>12</v>
      </c>
      <c r="E810" s="36">
        <v>1</v>
      </c>
      <c r="F810" s="11"/>
      <c r="G810" s="11"/>
      <c r="H810" s="11"/>
      <c r="I810" s="11"/>
      <c r="J810" s="12" t="s">
        <v>13</v>
      </c>
      <c r="K810" s="11"/>
    </row>
    <row r="811" spans="1:11" s="14" customFormat="1" ht="54" x14ac:dyDescent="0.25">
      <c r="A811" s="36">
        <v>784</v>
      </c>
      <c r="B811" s="40" t="s">
        <v>1186</v>
      </c>
      <c r="C811" s="11"/>
      <c r="D811" s="11" t="s">
        <v>12</v>
      </c>
      <c r="E811" s="36">
        <v>3</v>
      </c>
      <c r="F811" s="11"/>
      <c r="G811" s="11"/>
      <c r="H811" s="11"/>
      <c r="I811" s="11"/>
      <c r="J811" s="12" t="s">
        <v>13</v>
      </c>
      <c r="K811" s="11"/>
    </row>
    <row r="812" spans="1:11" s="14" customFormat="1" ht="36" x14ac:dyDescent="0.25">
      <c r="A812" s="36">
        <v>785</v>
      </c>
      <c r="B812" s="40" t="s">
        <v>1187</v>
      </c>
      <c r="C812" s="11"/>
      <c r="D812" s="11" t="s">
        <v>12</v>
      </c>
      <c r="E812" s="36">
        <v>3</v>
      </c>
      <c r="F812" s="11"/>
      <c r="G812" s="11"/>
      <c r="H812" s="11"/>
      <c r="I812" s="11"/>
      <c r="J812" s="12" t="s">
        <v>13</v>
      </c>
      <c r="K812" s="11"/>
    </row>
    <row r="813" spans="1:11" s="14" customFormat="1" ht="36" x14ac:dyDescent="0.25">
      <c r="A813" s="36">
        <v>786</v>
      </c>
      <c r="B813" s="40" t="s">
        <v>1188</v>
      </c>
      <c r="C813" s="11"/>
      <c r="D813" s="11" t="s">
        <v>1159</v>
      </c>
      <c r="E813" s="36">
        <v>3</v>
      </c>
      <c r="F813" s="11"/>
      <c r="G813" s="11"/>
      <c r="H813" s="11"/>
      <c r="I813" s="11"/>
      <c r="J813" s="12" t="s">
        <v>13</v>
      </c>
      <c r="K813" s="11"/>
    </row>
    <row r="814" spans="1:11" s="14" customFormat="1" ht="36" x14ac:dyDescent="0.25">
      <c r="A814" s="36">
        <v>787</v>
      </c>
      <c r="B814" s="40" t="s">
        <v>1189</v>
      </c>
      <c r="C814" s="11"/>
      <c r="D814" s="11" t="s">
        <v>1159</v>
      </c>
      <c r="E814" s="36">
        <v>3</v>
      </c>
      <c r="F814" s="11"/>
      <c r="G814" s="11"/>
      <c r="H814" s="11"/>
      <c r="I814" s="11"/>
      <c r="J814" s="12" t="s">
        <v>13</v>
      </c>
      <c r="K814" s="11"/>
    </row>
    <row r="815" spans="1:11" s="14" customFormat="1" ht="36" x14ac:dyDescent="0.25">
      <c r="A815" s="36">
        <v>788</v>
      </c>
      <c r="B815" s="40" t="s">
        <v>1190</v>
      </c>
      <c r="C815" s="11"/>
      <c r="D815" s="11" t="s">
        <v>12</v>
      </c>
      <c r="E815" s="36">
        <v>1</v>
      </c>
      <c r="F815" s="11"/>
      <c r="G815" s="11"/>
      <c r="H815" s="11"/>
      <c r="I815" s="11"/>
      <c r="J815" s="12" t="s">
        <v>13</v>
      </c>
      <c r="K815" s="11"/>
    </row>
    <row r="816" spans="1:11" s="14" customFormat="1" ht="54" x14ac:dyDescent="0.25">
      <c r="A816" s="47">
        <v>789</v>
      </c>
      <c r="B816" s="40" t="s">
        <v>1191</v>
      </c>
      <c r="C816" s="11"/>
      <c r="D816" s="11" t="s">
        <v>12</v>
      </c>
      <c r="E816" s="36">
        <v>1.5</v>
      </c>
      <c r="F816" s="11"/>
      <c r="G816" s="11"/>
      <c r="H816" s="11"/>
      <c r="I816" s="11"/>
      <c r="J816" s="12" t="s">
        <v>13</v>
      </c>
      <c r="K816" s="11"/>
    </row>
    <row r="817" spans="1:11" s="14" customFormat="1" ht="54" x14ac:dyDescent="0.25">
      <c r="A817" s="47">
        <v>790</v>
      </c>
      <c r="B817" s="40" t="s">
        <v>1192</v>
      </c>
      <c r="C817" s="11"/>
      <c r="D817" s="11" t="s">
        <v>12</v>
      </c>
      <c r="E817" s="36">
        <v>1.5</v>
      </c>
      <c r="F817" s="11"/>
      <c r="G817" s="11"/>
      <c r="H817" s="11"/>
      <c r="I817" s="11"/>
      <c r="J817" s="12" t="s">
        <v>13</v>
      </c>
      <c r="K817" s="11"/>
    </row>
    <row r="818" spans="1:11" s="14" customFormat="1" ht="54" x14ac:dyDescent="0.25">
      <c r="A818" s="47">
        <v>791</v>
      </c>
      <c r="B818" s="40" t="s">
        <v>1193</v>
      </c>
      <c r="C818" s="11"/>
      <c r="D818" s="11" t="s">
        <v>12</v>
      </c>
      <c r="E818" s="36">
        <v>6</v>
      </c>
      <c r="F818" s="11"/>
      <c r="G818" s="11"/>
      <c r="H818" s="11"/>
      <c r="I818" s="11"/>
      <c r="J818" s="12" t="s">
        <v>13</v>
      </c>
      <c r="K818" s="11"/>
    </row>
    <row r="819" spans="1:11" s="14" customFormat="1" ht="36" x14ac:dyDescent="0.25">
      <c r="A819" s="47">
        <v>792</v>
      </c>
      <c r="B819" s="40" t="s">
        <v>1194</v>
      </c>
      <c r="C819" s="11"/>
      <c r="D819" s="11" t="s">
        <v>12</v>
      </c>
      <c r="E819" s="36">
        <v>2</v>
      </c>
      <c r="F819" s="11"/>
      <c r="G819" s="11"/>
      <c r="H819" s="11"/>
      <c r="I819" s="11"/>
      <c r="J819" s="12" t="s">
        <v>13</v>
      </c>
      <c r="K819" s="11"/>
    </row>
    <row r="820" spans="1:11" s="14" customFormat="1" ht="36" x14ac:dyDescent="0.25">
      <c r="A820" s="47">
        <v>793</v>
      </c>
      <c r="B820" s="40" t="s">
        <v>1195</v>
      </c>
      <c r="C820" s="11"/>
      <c r="D820" s="11" t="s">
        <v>12</v>
      </c>
      <c r="E820" s="36">
        <v>1</v>
      </c>
      <c r="F820" s="11"/>
      <c r="G820" s="11"/>
      <c r="H820" s="11"/>
      <c r="I820" s="11"/>
      <c r="J820" s="12" t="s">
        <v>13</v>
      </c>
      <c r="K820" s="11"/>
    </row>
    <row r="821" spans="1:11" s="14" customFormat="1" ht="56.45" customHeight="1" x14ac:dyDescent="0.25">
      <c r="A821" s="47">
        <v>794</v>
      </c>
      <c r="B821" s="40" t="s">
        <v>1196</v>
      </c>
      <c r="C821" s="11"/>
      <c r="D821" s="11" t="s">
        <v>1197</v>
      </c>
      <c r="E821" s="36">
        <v>30</v>
      </c>
      <c r="F821" s="11"/>
      <c r="G821" s="11"/>
      <c r="H821" s="11"/>
      <c r="I821" s="11"/>
      <c r="J821" s="12" t="s">
        <v>13</v>
      </c>
      <c r="K821" s="11"/>
    </row>
    <row r="822" spans="1:11" s="14" customFormat="1" ht="54" x14ac:dyDescent="0.25">
      <c r="A822" s="47">
        <v>795</v>
      </c>
      <c r="B822" s="40" t="s">
        <v>1198</v>
      </c>
      <c r="C822" s="11"/>
      <c r="D822" s="11" t="s">
        <v>1199</v>
      </c>
      <c r="E822" s="36">
        <v>5.0999999999999996</v>
      </c>
      <c r="F822" s="11"/>
      <c r="G822" s="11"/>
      <c r="H822" s="11"/>
      <c r="I822" s="11"/>
      <c r="J822" s="12" t="s">
        <v>13</v>
      </c>
      <c r="K822" s="11"/>
    </row>
    <row r="823" spans="1:11" s="14" customFormat="1" ht="36" x14ac:dyDescent="0.25">
      <c r="A823" s="47">
        <v>796</v>
      </c>
      <c r="B823" s="40" t="s">
        <v>1200</v>
      </c>
      <c r="C823" s="11"/>
      <c r="D823" s="11" t="s">
        <v>1201</v>
      </c>
      <c r="E823" s="36">
        <v>65</v>
      </c>
      <c r="F823" s="11"/>
      <c r="G823" s="11"/>
      <c r="H823" s="11"/>
      <c r="I823" s="11"/>
      <c r="J823" s="12" t="s">
        <v>13</v>
      </c>
      <c r="K823" s="11"/>
    </row>
    <row r="824" spans="1:11" s="14" customFormat="1" ht="49.35" customHeight="1" x14ac:dyDescent="0.25">
      <c r="A824" s="47">
        <v>797</v>
      </c>
      <c r="B824" s="40" t="s">
        <v>1202</v>
      </c>
      <c r="C824" s="11"/>
      <c r="D824" s="11" t="s">
        <v>1201</v>
      </c>
      <c r="E824" s="36">
        <v>65</v>
      </c>
      <c r="F824" s="11"/>
      <c r="G824" s="11"/>
      <c r="H824" s="11"/>
      <c r="I824" s="11"/>
      <c r="J824" s="12" t="s">
        <v>13</v>
      </c>
      <c r="K824" s="11"/>
    </row>
    <row r="825" spans="1:11" s="14" customFormat="1" ht="61.7" customHeight="1" x14ac:dyDescent="0.25">
      <c r="A825" s="47">
        <v>798</v>
      </c>
      <c r="B825" s="49" t="s">
        <v>1203</v>
      </c>
      <c r="C825" s="11"/>
      <c r="D825" s="11" t="s">
        <v>1201</v>
      </c>
      <c r="E825" s="36">
        <v>8</v>
      </c>
      <c r="F825" s="11"/>
      <c r="G825" s="11"/>
      <c r="H825" s="11"/>
      <c r="I825" s="11"/>
      <c r="J825" s="12" t="s">
        <v>13</v>
      </c>
      <c r="K825" s="11"/>
    </row>
    <row r="826" spans="1:11" s="14" customFormat="1" ht="18" x14ac:dyDescent="0.25">
      <c r="A826" s="36"/>
      <c r="B826" s="46" t="s">
        <v>1204</v>
      </c>
      <c r="C826" s="11"/>
      <c r="D826" s="11"/>
      <c r="E826" s="36"/>
      <c r="F826" s="11"/>
      <c r="G826" s="11"/>
      <c r="H826" s="11"/>
      <c r="I826" s="11"/>
      <c r="J826" s="12" t="s">
        <v>13</v>
      </c>
      <c r="K826" s="11"/>
    </row>
    <row r="827" spans="1:11" s="14" customFormat="1" ht="61.7" customHeight="1" x14ac:dyDescent="0.25">
      <c r="A827" s="36">
        <v>799</v>
      </c>
      <c r="B827" s="40" t="s">
        <v>1205</v>
      </c>
      <c r="C827" s="11"/>
      <c r="D827" s="11" t="s">
        <v>16</v>
      </c>
      <c r="E827" s="36">
        <v>6</v>
      </c>
      <c r="F827" s="11"/>
      <c r="G827" s="11"/>
      <c r="H827" s="11"/>
      <c r="I827" s="11"/>
      <c r="J827" s="12" t="s">
        <v>13</v>
      </c>
      <c r="K827" s="11"/>
    </row>
    <row r="828" spans="1:11" s="14" customFormat="1" ht="66" customHeight="1" x14ac:dyDescent="0.25">
      <c r="A828" s="36">
        <v>800</v>
      </c>
      <c r="B828" s="40" t="s">
        <v>1206</v>
      </c>
      <c r="C828" s="11"/>
      <c r="D828" s="11" t="s">
        <v>12</v>
      </c>
      <c r="E828" s="36">
        <v>3</v>
      </c>
      <c r="F828" s="11"/>
      <c r="G828" s="11"/>
      <c r="H828" s="11"/>
      <c r="I828" s="11"/>
      <c r="J828" s="12" t="s">
        <v>13</v>
      </c>
      <c r="K828" s="11"/>
    </row>
    <row r="829" spans="1:11" s="14" customFormat="1" ht="82.35" customHeight="1" x14ac:dyDescent="0.25">
      <c r="A829" s="36">
        <v>801</v>
      </c>
      <c r="B829" s="40" t="s">
        <v>1207</v>
      </c>
      <c r="C829" s="11"/>
      <c r="D829" s="11" t="s">
        <v>16</v>
      </c>
      <c r="E829" s="36">
        <v>6</v>
      </c>
      <c r="F829" s="11"/>
      <c r="G829" s="11"/>
      <c r="H829" s="11"/>
      <c r="I829" s="11"/>
      <c r="J829" s="12" t="s">
        <v>13</v>
      </c>
      <c r="K829" s="11"/>
    </row>
    <row r="830" spans="1:11" s="14" customFormat="1" ht="82.7" customHeight="1" x14ac:dyDescent="0.25">
      <c r="A830" s="36">
        <v>802</v>
      </c>
      <c r="B830" s="13" t="s">
        <v>1208</v>
      </c>
      <c r="C830" s="11"/>
      <c r="D830" s="11" t="s">
        <v>12</v>
      </c>
      <c r="E830" s="36">
        <v>1</v>
      </c>
      <c r="F830" s="11"/>
      <c r="G830" s="11"/>
      <c r="H830" s="11"/>
      <c r="I830" s="11"/>
      <c r="J830" s="12" t="s">
        <v>13</v>
      </c>
      <c r="K830" s="11"/>
    </row>
    <row r="831" spans="1:11" s="14" customFormat="1" ht="36" x14ac:dyDescent="0.25">
      <c r="A831" s="36">
        <v>803</v>
      </c>
      <c r="B831" s="40" t="s">
        <v>1209</v>
      </c>
      <c r="C831" s="11"/>
      <c r="D831" s="11" t="s">
        <v>16</v>
      </c>
      <c r="E831" s="36">
        <v>1</v>
      </c>
      <c r="F831" s="11"/>
      <c r="G831" s="11"/>
      <c r="H831" s="11"/>
      <c r="I831" s="11"/>
      <c r="J831" s="12" t="s">
        <v>13</v>
      </c>
      <c r="K831" s="11"/>
    </row>
    <row r="832" spans="1:11" s="14" customFormat="1" ht="84.6" customHeight="1" x14ac:dyDescent="0.25">
      <c r="A832" s="36">
        <v>804</v>
      </c>
      <c r="B832" s="40" t="s">
        <v>1210</v>
      </c>
      <c r="C832" s="11"/>
      <c r="D832" s="11" t="s">
        <v>16</v>
      </c>
      <c r="E832" s="36">
        <v>2</v>
      </c>
      <c r="F832" s="11"/>
      <c r="G832" s="11"/>
      <c r="H832" s="11"/>
      <c r="I832" s="11"/>
      <c r="J832" s="12" t="s">
        <v>13</v>
      </c>
      <c r="K832" s="11"/>
    </row>
    <row r="833" spans="1:11" s="14" customFormat="1" ht="90" customHeight="1" x14ac:dyDescent="0.25">
      <c r="A833" s="36">
        <v>805</v>
      </c>
      <c r="B833" s="40" t="s">
        <v>1211</v>
      </c>
      <c r="C833" s="11"/>
      <c r="D833" s="11" t="s">
        <v>16</v>
      </c>
      <c r="E833" s="36">
        <v>1</v>
      </c>
      <c r="F833" s="11"/>
      <c r="G833" s="11"/>
      <c r="H833" s="11"/>
      <c r="I833" s="11"/>
      <c r="J833" s="12" t="s">
        <v>13</v>
      </c>
      <c r="K833" s="11"/>
    </row>
    <row r="834" spans="1:11" s="14" customFormat="1" ht="36" x14ac:dyDescent="0.25">
      <c r="A834" s="36">
        <v>806</v>
      </c>
      <c r="B834" s="49" t="s">
        <v>1212</v>
      </c>
      <c r="C834" s="11"/>
      <c r="D834" s="11" t="s">
        <v>16</v>
      </c>
      <c r="E834" s="36">
        <v>10</v>
      </c>
      <c r="F834" s="11"/>
      <c r="G834" s="11"/>
      <c r="H834" s="11"/>
      <c r="I834" s="11"/>
      <c r="J834" s="12" t="s">
        <v>13</v>
      </c>
      <c r="K834" s="11"/>
    </row>
    <row r="835" spans="1:11" s="14" customFormat="1" ht="67.349999999999994" customHeight="1" x14ac:dyDescent="0.25">
      <c r="A835" s="36">
        <v>807</v>
      </c>
      <c r="B835" s="40" t="s">
        <v>1213</v>
      </c>
      <c r="C835" s="11"/>
      <c r="D835" s="11" t="s">
        <v>16</v>
      </c>
      <c r="E835" s="36">
        <v>1</v>
      </c>
      <c r="F835" s="11"/>
      <c r="G835" s="11"/>
      <c r="H835" s="11"/>
      <c r="I835" s="11"/>
      <c r="J835" s="12" t="s">
        <v>13</v>
      </c>
      <c r="K835" s="11"/>
    </row>
    <row r="836" spans="1:11" s="14" customFormat="1" ht="53.45" customHeight="1" x14ac:dyDescent="0.25">
      <c r="A836" s="36">
        <v>808</v>
      </c>
      <c r="B836" s="40" t="s">
        <v>1214</v>
      </c>
      <c r="C836" s="11"/>
      <c r="D836" s="11" t="s">
        <v>16</v>
      </c>
      <c r="E836" s="36">
        <v>1</v>
      </c>
      <c r="F836" s="11"/>
      <c r="G836" s="11"/>
      <c r="H836" s="11"/>
      <c r="I836" s="11"/>
      <c r="J836" s="12" t="s">
        <v>13</v>
      </c>
      <c r="K836" s="11"/>
    </row>
    <row r="837" spans="1:11" s="14" customFormat="1" ht="49.7" customHeight="1" x14ac:dyDescent="0.25">
      <c r="A837" s="36">
        <v>809</v>
      </c>
      <c r="B837" s="40" t="s">
        <v>1215</v>
      </c>
      <c r="C837" s="11"/>
      <c r="D837" s="11" t="s">
        <v>16</v>
      </c>
      <c r="E837" s="36">
        <v>1</v>
      </c>
      <c r="F837" s="11"/>
      <c r="G837" s="11"/>
      <c r="H837" s="11"/>
      <c r="I837" s="11"/>
      <c r="J837" s="12" t="s">
        <v>13</v>
      </c>
      <c r="K837" s="11"/>
    </row>
    <row r="838" spans="1:11" s="14" customFormat="1" ht="34.35" customHeight="1" x14ac:dyDescent="0.25">
      <c r="A838" s="36">
        <v>810</v>
      </c>
      <c r="B838" s="40" t="s">
        <v>1216</v>
      </c>
      <c r="C838" s="11"/>
      <c r="D838" s="11" t="s">
        <v>16</v>
      </c>
      <c r="E838" s="36">
        <v>1</v>
      </c>
      <c r="F838" s="11"/>
      <c r="G838" s="11"/>
      <c r="H838" s="11"/>
      <c r="I838" s="11"/>
      <c r="J838" s="12" t="s">
        <v>13</v>
      </c>
      <c r="K838" s="11"/>
    </row>
    <row r="839" spans="1:11" s="14" customFormat="1" ht="36" x14ac:dyDescent="0.25">
      <c r="A839" s="36">
        <v>947</v>
      </c>
      <c r="B839" s="49" t="s">
        <v>1217</v>
      </c>
      <c r="C839" s="11"/>
      <c r="D839" s="11" t="s">
        <v>1218</v>
      </c>
      <c r="E839" s="36">
        <v>4</v>
      </c>
      <c r="F839" s="11">
        <v>4</v>
      </c>
      <c r="G839" s="12" t="s">
        <v>22</v>
      </c>
      <c r="H839" s="11"/>
      <c r="I839" s="11"/>
      <c r="J839" s="12" t="s">
        <v>22</v>
      </c>
      <c r="K839" s="11"/>
    </row>
    <row r="840" spans="1:11" s="14" customFormat="1" ht="36" x14ac:dyDescent="0.25">
      <c r="A840" s="36">
        <v>948</v>
      </c>
      <c r="B840" s="49" t="s">
        <v>1219</v>
      </c>
      <c r="C840" s="11"/>
      <c r="D840" s="11" t="s">
        <v>1218</v>
      </c>
      <c r="E840" s="36">
        <v>8</v>
      </c>
      <c r="F840" s="11">
        <v>5</v>
      </c>
      <c r="G840" s="12" t="s">
        <v>22</v>
      </c>
      <c r="H840" s="11"/>
      <c r="I840" s="11"/>
      <c r="J840" s="12" t="s">
        <v>22</v>
      </c>
      <c r="K840" s="11"/>
    </row>
    <row r="841" spans="1:11" s="14" customFormat="1" ht="36" x14ac:dyDescent="0.25">
      <c r="A841" s="36">
        <v>949</v>
      </c>
      <c r="B841" s="49" t="s">
        <v>1220</v>
      </c>
      <c r="C841" s="11"/>
      <c r="D841" s="11" t="s">
        <v>1218</v>
      </c>
      <c r="E841" s="36">
        <v>8</v>
      </c>
      <c r="F841" s="11">
        <v>8</v>
      </c>
      <c r="G841" s="12" t="s">
        <v>22</v>
      </c>
      <c r="H841" s="11"/>
      <c r="I841" s="11"/>
      <c r="J841" s="12" t="s">
        <v>22</v>
      </c>
      <c r="K841" s="11"/>
    </row>
    <row r="842" spans="1:11" s="14" customFormat="1" ht="18" x14ac:dyDescent="0.25">
      <c r="A842" s="36">
        <v>950</v>
      </c>
      <c r="B842" s="49" t="s">
        <v>1221</v>
      </c>
      <c r="C842" s="11"/>
      <c r="D842" s="11" t="s">
        <v>1218</v>
      </c>
      <c r="E842" s="36">
        <v>1</v>
      </c>
      <c r="F842" s="11">
        <v>1</v>
      </c>
      <c r="G842" s="12" t="s">
        <v>22</v>
      </c>
      <c r="H842" s="11"/>
      <c r="I842" s="11"/>
      <c r="J842" s="12" t="s">
        <v>22</v>
      </c>
      <c r="K842" s="11"/>
    </row>
    <row r="843" spans="1:11" s="14" customFormat="1" ht="18" x14ac:dyDescent="0.25">
      <c r="A843" s="36">
        <v>951</v>
      </c>
      <c r="B843" s="49" t="s">
        <v>1222</v>
      </c>
      <c r="C843" s="11"/>
      <c r="D843" s="11" t="s">
        <v>1218</v>
      </c>
      <c r="E843" s="36">
        <v>1</v>
      </c>
      <c r="F843" s="11">
        <v>1</v>
      </c>
      <c r="G843" s="12" t="s">
        <v>22</v>
      </c>
      <c r="H843" s="11"/>
      <c r="I843" s="11"/>
      <c r="J843" s="12" t="s">
        <v>22</v>
      </c>
      <c r="K843" s="11"/>
    </row>
    <row r="844" spans="1:11" s="14" customFormat="1" ht="18" x14ac:dyDescent="0.25">
      <c r="A844" s="36">
        <v>952</v>
      </c>
      <c r="B844" s="49" t="s">
        <v>1223</v>
      </c>
      <c r="C844" s="11"/>
      <c r="D844" s="11" t="s">
        <v>1218</v>
      </c>
      <c r="E844" s="36">
        <v>1</v>
      </c>
      <c r="F844" s="11">
        <v>1</v>
      </c>
      <c r="G844" s="12" t="s">
        <v>22</v>
      </c>
      <c r="H844" s="11"/>
      <c r="I844" s="11"/>
      <c r="J844" s="12" t="s">
        <v>22</v>
      </c>
      <c r="K844" s="11"/>
    </row>
    <row r="845" spans="1:11" s="14" customFormat="1" ht="18" x14ac:dyDescent="0.25">
      <c r="A845" s="36">
        <v>953</v>
      </c>
      <c r="B845" s="49" t="s">
        <v>1224</v>
      </c>
      <c r="C845" s="11"/>
      <c r="D845" s="11" t="s">
        <v>1218</v>
      </c>
      <c r="E845" s="36">
        <v>1</v>
      </c>
      <c r="F845" s="11">
        <v>1</v>
      </c>
      <c r="G845" s="12" t="s">
        <v>22</v>
      </c>
      <c r="H845" s="11"/>
      <c r="I845" s="11"/>
      <c r="J845" s="12" t="s">
        <v>22</v>
      </c>
      <c r="K845" s="11"/>
    </row>
    <row r="846" spans="1:11" s="14" customFormat="1" ht="36" x14ac:dyDescent="0.25">
      <c r="A846" s="36">
        <v>954</v>
      </c>
      <c r="B846" s="49" t="s">
        <v>1225</v>
      </c>
      <c r="C846" s="11"/>
      <c r="D846" s="11" t="s">
        <v>1218</v>
      </c>
      <c r="E846" s="36"/>
      <c r="F846" s="11">
        <v>1</v>
      </c>
      <c r="G846" s="12" t="s">
        <v>22</v>
      </c>
      <c r="H846" s="11"/>
      <c r="I846" s="11"/>
      <c r="J846" s="12" t="s">
        <v>22</v>
      </c>
      <c r="K846" s="11"/>
    </row>
    <row r="847" spans="1:11" s="14" customFormat="1" ht="18" x14ac:dyDescent="0.25">
      <c r="A847" s="36">
        <v>969</v>
      </c>
      <c r="B847" s="49" t="s">
        <v>1226</v>
      </c>
      <c r="C847" s="11"/>
      <c r="D847" s="11" t="s">
        <v>12</v>
      </c>
      <c r="E847" s="36">
        <v>3</v>
      </c>
      <c r="F847" s="11">
        <v>4</v>
      </c>
      <c r="G847" s="12" t="s">
        <v>22</v>
      </c>
      <c r="H847" s="11"/>
      <c r="I847" s="11"/>
      <c r="J847" s="12" t="s">
        <v>22</v>
      </c>
      <c r="K847" s="11"/>
    </row>
    <row r="848" spans="1:11" s="14" customFormat="1" ht="18" x14ac:dyDescent="0.25">
      <c r="A848" s="36">
        <v>970</v>
      </c>
      <c r="B848" s="49" t="s">
        <v>1227</v>
      </c>
      <c r="C848" s="11"/>
      <c r="D848" s="11" t="s">
        <v>12</v>
      </c>
      <c r="E848" s="36">
        <v>3</v>
      </c>
      <c r="F848" s="11">
        <v>4</v>
      </c>
      <c r="G848" s="12" t="s">
        <v>22</v>
      </c>
      <c r="H848" s="11"/>
      <c r="I848" s="11"/>
      <c r="J848" s="12" t="s">
        <v>22</v>
      </c>
      <c r="K848" s="11"/>
    </row>
    <row r="849" spans="1:11" s="14" customFormat="1" ht="36" x14ac:dyDescent="0.25">
      <c r="A849" s="36">
        <v>972</v>
      </c>
      <c r="B849" s="49" t="s">
        <v>1228</v>
      </c>
      <c r="C849" s="11"/>
      <c r="D849" s="11" t="s">
        <v>1218</v>
      </c>
      <c r="E849" s="36">
        <v>1.5</v>
      </c>
      <c r="F849" s="11">
        <v>2</v>
      </c>
      <c r="G849" s="12" t="s">
        <v>22</v>
      </c>
      <c r="H849" s="11"/>
      <c r="I849" s="11"/>
      <c r="J849" s="12" t="s">
        <v>22</v>
      </c>
      <c r="K849" s="11"/>
    </row>
    <row r="850" spans="1:11" s="14" customFormat="1" ht="18" x14ac:dyDescent="0.25">
      <c r="A850" s="36">
        <v>986</v>
      </c>
      <c r="B850" s="49" t="s">
        <v>1229</v>
      </c>
      <c r="C850" s="11"/>
      <c r="D850" s="11" t="s">
        <v>12</v>
      </c>
      <c r="E850" s="36">
        <v>80</v>
      </c>
      <c r="F850" s="11">
        <v>80</v>
      </c>
      <c r="G850" s="12" t="s">
        <v>22</v>
      </c>
      <c r="H850" s="11"/>
      <c r="I850" s="11"/>
      <c r="J850" s="12" t="s">
        <v>22</v>
      </c>
      <c r="K850" s="11"/>
    </row>
    <row r="851" spans="1:11" s="14" customFormat="1" ht="18" x14ac:dyDescent="0.25">
      <c r="A851" s="36">
        <v>987</v>
      </c>
      <c r="B851" s="49" t="s">
        <v>1230</v>
      </c>
      <c r="C851" s="11"/>
      <c r="D851" s="11" t="s">
        <v>12</v>
      </c>
      <c r="E851" s="36">
        <v>105</v>
      </c>
      <c r="F851" s="11">
        <v>105</v>
      </c>
      <c r="G851" s="12" t="s">
        <v>22</v>
      </c>
      <c r="H851" s="11"/>
      <c r="I851" s="11"/>
      <c r="J851" s="12" t="s">
        <v>22</v>
      </c>
      <c r="K851" s="11"/>
    </row>
    <row r="852" spans="1:11" s="14" customFormat="1" ht="18" x14ac:dyDescent="0.25">
      <c r="A852" s="36">
        <v>988</v>
      </c>
      <c r="B852" s="49" t="s">
        <v>1231</v>
      </c>
      <c r="C852" s="11"/>
      <c r="D852" s="11" t="s">
        <v>12</v>
      </c>
      <c r="E852" s="36">
        <v>105</v>
      </c>
      <c r="F852" s="11">
        <v>105</v>
      </c>
      <c r="G852" s="12" t="s">
        <v>22</v>
      </c>
      <c r="H852" s="11"/>
      <c r="I852" s="11"/>
      <c r="J852" s="12" t="s">
        <v>22</v>
      </c>
      <c r="K852" s="11"/>
    </row>
    <row r="853" spans="1:11" s="14" customFormat="1" ht="75.599999999999994" customHeight="1" x14ac:dyDescent="0.25">
      <c r="A853" s="36">
        <v>817</v>
      </c>
      <c r="B853" s="40" t="s">
        <v>1232</v>
      </c>
      <c r="C853" s="11"/>
      <c r="D853" s="11" t="s">
        <v>1218</v>
      </c>
      <c r="E853" s="36">
        <v>2</v>
      </c>
      <c r="F853" s="11"/>
      <c r="G853" s="11"/>
      <c r="H853" s="22">
        <v>45965</v>
      </c>
      <c r="I853" s="11"/>
      <c r="J853" s="12" t="s">
        <v>13</v>
      </c>
      <c r="K853" s="11"/>
    </row>
    <row r="854" spans="1:11" s="14" customFormat="1" ht="75.599999999999994" customHeight="1" x14ac:dyDescent="0.25">
      <c r="A854" s="36">
        <v>818</v>
      </c>
      <c r="B854" s="40" t="s">
        <v>1233</v>
      </c>
      <c r="C854" s="11"/>
      <c r="D854" s="11" t="s">
        <v>1218</v>
      </c>
      <c r="E854" s="36">
        <v>2</v>
      </c>
      <c r="F854" s="11"/>
      <c r="G854" s="11"/>
      <c r="H854" s="50">
        <v>45965</v>
      </c>
      <c r="I854" s="11"/>
      <c r="J854" s="12" t="s">
        <v>13</v>
      </c>
      <c r="K854" s="11"/>
    </row>
    <row r="855" spans="1:11" s="14" customFormat="1" ht="75.599999999999994" customHeight="1" x14ac:dyDescent="0.25">
      <c r="A855" s="36">
        <v>819</v>
      </c>
      <c r="B855" s="40" t="s">
        <v>1234</v>
      </c>
      <c r="C855" s="11"/>
      <c r="D855" s="11" t="s">
        <v>1218</v>
      </c>
      <c r="E855" s="36">
        <v>2</v>
      </c>
      <c r="F855" s="11"/>
      <c r="G855" s="11"/>
      <c r="H855" s="22">
        <v>45965</v>
      </c>
      <c r="I855" s="11"/>
      <c r="J855" s="12" t="s">
        <v>13</v>
      </c>
      <c r="K855" s="11"/>
    </row>
    <row r="856" spans="1:11" s="14" customFormat="1" ht="75.599999999999994" customHeight="1" x14ac:dyDescent="0.25">
      <c r="A856" s="36">
        <v>820</v>
      </c>
      <c r="B856" s="40" t="s">
        <v>1235</v>
      </c>
      <c r="C856" s="11"/>
      <c r="D856" s="11" t="s">
        <v>1218</v>
      </c>
      <c r="E856" s="36">
        <v>5</v>
      </c>
      <c r="F856" s="11">
        <v>5</v>
      </c>
      <c r="G856" s="11" t="s">
        <v>32</v>
      </c>
      <c r="H856" s="11" t="s">
        <v>1236</v>
      </c>
      <c r="I856" s="22">
        <v>45981</v>
      </c>
      <c r="J856" s="12" t="s">
        <v>22</v>
      </c>
      <c r="K856" s="11"/>
    </row>
    <row r="857" spans="1:11" s="14" customFormat="1" ht="75.599999999999994" customHeight="1" x14ac:dyDescent="0.25">
      <c r="A857" s="36">
        <v>823</v>
      </c>
      <c r="B857" s="40" t="s">
        <v>1237</v>
      </c>
      <c r="C857" s="11"/>
      <c r="D857" s="11" t="s">
        <v>1218</v>
      </c>
      <c r="E857" s="36">
        <v>3</v>
      </c>
      <c r="F857" s="11">
        <v>2</v>
      </c>
      <c r="G857" s="11" t="s">
        <v>32</v>
      </c>
      <c r="H857" s="22">
        <v>45968</v>
      </c>
      <c r="I857" s="22">
        <v>45988</v>
      </c>
      <c r="J857" s="12" t="s">
        <v>22</v>
      </c>
      <c r="K857" s="11"/>
    </row>
    <row r="858" spans="1:11" s="14" customFormat="1" ht="75.599999999999994" customHeight="1" x14ac:dyDescent="0.25">
      <c r="A858" s="36">
        <v>831</v>
      </c>
      <c r="B858" s="48" t="s">
        <v>1238</v>
      </c>
      <c r="C858" s="11"/>
      <c r="D858" s="11" t="s">
        <v>1218</v>
      </c>
      <c r="E858" s="36">
        <v>1</v>
      </c>
      <c r="F858" s="11"/>
      <c r="G858" s="11"/>
      <c r="H858" s="22">
        <v>45973</v>
      </c>
      <c r="I858" s="11"/>
      <c r="J858" s="12" t="s">
        <v>13</v>
      </c>
      <c r="K858" s="11"/>
    </row>
    <row r="859" spans="1:11" s="14" customFormat="1" ht="75.599999999999994" customHeight="1" x14ac:dyDescent="0.25">
      <c r="A859" s="21">
        <v>832</v>
      </c>
      <c r="B859" s="21" t="s">
        <v>1239</v>
      </c>
      <c r="C859" s="40"/>
      <c r="D859" s="21" t="s">
        <v>1218</v>
      </c>
      <c r="E859" s="36">
        <v>2</v>
      </c>
      <c r="F859" s="11"/>
      <c r="G859" s="11"/>
      <c r="H859" s="22">
        <v>45972</v>
      </c>
      <c r="I859" s="11"/>
      <c r="J859" s="12" t="s">
        <v>13</v>
      </c>
      <c r="K859" s="11"/>
    </row>
    <row r="860" spans="1:11" s="14" customFormat="1" ht="75.599999999999994" customHeight="1" x14ac:dyDescent="0.25">
      <c r="A860" s="36">
        <v>833</v>
      </c>
      <c r="B860" s="48" t="s">
        <v>1240</v>
      </c>
      <c r="C860" s="11"/>
      <c r="D860" s="11" t="s">
        <v>1218</v>
      </c>
      <c r="E860" s="36">
        <v>2</v>
      </c>
      <c r="F860" s="11"/>
      <c r="G860" s="11"/>
      <c r="H860" s="22">
        <v>45973</v>
      </c>
      <c r="I860" s="11"/>
      <c r="J860" s="12" t="s">
        <v>13</v>
      </c>
      <c r="K860" s="11"/>
    </row>
    <row r="861" spans="1:11" s="14" customFormat="1" ht="75.599999999999994" customHeight="1" x14ac:dyDescent="0.25">
      <c r="A861" s="36">
        <v>834</v>
      </c>
      <c r="B861" s="40" t="s">
        <v>1241</v>
      </c>
      <c r="C861" s="11"/>
      <c r="D861" s="11" t="s">
        <v>1218</v>
      </c>
      <c r="E861" s="36">
        <v>3</v>
      </c>
      <c r="F861" s="11"/>
      <c r="G861" s="11"/>
      <c r="H861" s="22">
        <v>45973</v>
      </c>
      <c r="I861" s="11"/>
      <c r="J861" s="12" t="s">
        <v>13</v>
      </c>
      <c r="K861" s="11"/>
    </row>
    <row r="862" spans="1:11" s="14" customFormat="1" ht="75.599999999999994" customHeight="1" x14ac:dyDescent="0.25">
      <c r="A862" s="36">
        <v>835</v>
      </c>
      <c r="B862" s="40" t="s">
        <v>1242</v>
      </c>
      <c r="C862" s="11"/>
      <c r="D862" s="11" t="s">
        <v>1218</v>
      </c>
      <c r="E862" s="36">
        <v>2</v>
      </c>
      <c r="F862" s="11"/>
      <c r="G862" s="11"/>
      <c r="H862" s="22">
        <v>45973</v>
      </c>
      <c r="I862" s="11"/>
      <c r="J862" s="12" t="s">
        <v>13</v>
      </c>
      <c r="K862" s="11"/>
    </row>
    <row r="863" spans="1:11" s="14" customFormat="1" ht="75.599999999999994" customHeight="1" x14ac:dyDescent="0.25">
      <c r="A863" s="36">
        <v>836</v>
      </c>
      <c r="B863" s="40" t="s">
        <v>1243</v>
      </c>
      <c r="C863" s="11"/>
      <c r="D863" s="11" t="s">
        <v>1218</v>
      </c>
      <c r="E863" s="36">
        <v>6</v>
      </c>
      <c r="F863" s="11"/>
      <c r="G863" s="11"/>
      <c r="H863" s="22">
        <v>45973</v>
      </c>
      <c r="I863" s="11"/>
      <c r="J863" s="12" t="s">
        <v>13</v>
      </c>
      <c r="K863" s="11"/>
    </row>
    <row r="864" spans="1:11" s="14" customFormat="1" ht="75.599999999999994" customHeight="1" x14ac:dyDescent="0.25">
      <c r="A864" s="36">
        <v>837</v>
      </c>
      <c r="B864" s="40" t="s">
        <v>1244</v>
      </c>
      <c r="C864" s="11"/>
      <c r="D864" s="11" t="s">
        <v>1218</v>
      </c>
      <c r="E864" s="36">
        <v>3</v>
      </c>
      <c r="F864" s="11"/>
      <c r="G864" s="11"/>
      <c r="H864" s="22">
        <v>45973</v>
      </c>
      <c r="I864" s="11"/>
      <c r="J864" s="12" t="s">
        <v>13</v>
      </c>
      <c r="K864" s="11"/>
    </row>
    <row r="865" spans="1:11" s="14" customFormat="1" ht="75.599999999999994" customHeight="1" x14ac:dyDescent="0.25">
      <c r="A865" s="36">
        <v>838</v>
      </c>
      <c r="B865" s="40" t="s">
        <v>1245</v>
      </c>
      <c r="C865" s="11"/>
      <c r="D865" s="11" t="s">
        <v>1218</v>
      </c>
      <c r="E865" s="36">
        <v>2</v>
      </c>
      <c r="F865" s="11"/>
      <c r="G865" s="11"/>
      <c r="H865" s="22">
        <v>45973</v>
      </c>
      <c r="I865" s="11"/>
      <c r="J865" s="12" t="s">
        <v>13</v>
      </c>
      <c r="K865" s="11"/>
    </row>
    <row r="866" spans="1:11" s="14" customFormat="1" ht="75.599999999999994" customHeight="1" x14ac:dyDescent="0.25">
      <c r="A866" s="36">
        <v>839</v>
      </c>
      <c r="B866" s="40" t="s">
        <v>1246</v>
      </c>
      <c r="C866" s="11"/>
      <c r="D866" s="13" t="s">
        <v>1218</v>
      </c>
      <c r="E866" s="36">
        <v>2</v>
      </c>
      <c r="F866" s="11">
        <v>2</v>
      </c>
      <c r="G866" s="11" t="s">
        <v>32</v>
      </c>
      <c r="H866" s="22">
        <v>45980</v>
      </c>
      <c r="I866" s="22">
        <v>45986</v>
      </c>
      <c r="J866" s="12" t="s">
        <v>22</v>
      </c>
      <c r="K866" s="11"/>
    </row>
    <row r="867" spans="1:11" s="14" customFormat="1" ht="75.599999999999994" customHeight="1" x14ac:dyDescent="0.25">
      <c r="A867" s="36">
        <v>840</v>
      </c>
      <c r="B867" s="40" t="s">
        <v>1247</v>
      </c>
      <c r="C867" s="11"/>
      <c r="D867" s="11" t="s">
        <v>1218</v>
      </c>
      <c r="E867" s="36">
        <v>2</v>
      </c>
      <c r="F867" s="11">
        <v>2</v>
      </c>
      <c r="G867" s="11" t="s">
        <v>32</v>
      </c>
      <c r="H867" s="22">
        <v>45980</v>
      </c>
      <c r="I867" s="22">
        <v>45986</v>
      </c>
      <c r="J867" s="12" t="s">
        <v>22</v>
      </c>
      <c r="K867" s="11"/>
    </row>
    <row r="868" spans="1:11" s="14" customFormat="1" ht="75.599999999999994" customHeight="1" x14ac:dyDescent="0.25">
      <c r="A868" s="36">
        <v>841</v>
      </c>
      <c r="B868" s="40" t="s">
        <v>1248</v>
      </c>
      <c r="C868" s="11"/>
      <c r="D868" s="11" t="s">
        <v>1218</v>
      </c>
      <c r="E868" s="36">
        <v>4</v>
      </c>
      <c r="F868" s="11"/>
      <c r="G868" s="11"/>
      <c r="H868" s="22">
        <v>45980</v>
      </c>
      <c r="I868" s="11"/>
      <c r="J868" s="12" t="s">
        <v>13</v>
      </c>
      <c r="K868" s="11"/>
    </row>
    <row r="869" spans="1:11" s="14" customFormat="1" ht="75.599999999999994" customHeight="1" x14ac:dyDescent="0.25">
      <c r="A869" s="36">
        <v>842</v>
      </c>
      <c r="B869" s="40" t="s">
        <v>1249</v>
      </c>
      <c r="C869" s="11"/>
      <c r="D869" s="13" t="s">
        <v>1218</v>
      </c>
      <c r="E869" s="36">
        <v>3</v>
      </c>
      <c r="F869" s="11"/>
      <c r="G869" s="11"/>
      <c r="H869" s="22">
        <v>45980</v>
      </c>
      <c r="I869" s="11"/>
      <c r="J869" s="12" t="s">
        <v>13</v>
      </c>
      <c r="K869" s="11"/>
    </row>
    <row r="870" spans="1:11" s="14" customFormat="1" ht="75.599999999999994" customHeight="1" x14ac:dyDescent="0.25">
      <c r="A870" s="36">
        <v>843</v>
      </c>
      <c r="B870" s="49" t="s">
        <v>1250</v>
      </c>
      <c r="C870" s="11"/>
      <c r="D870" s="13" t="s">
        <v>1218</v>
      </c>
      <c r="E870" s="36">
        <v>3</v>
      </c>
      <c r="F870" s="11"/>
      <c r="G870" s="11"/>
      <c r="H870" s="22">
        <v>45975</v>
      </c>
      <c r="I870" s="11"/>
      <c r="J870" s="12" t="s">
        <v>13</v>
      </c>
      <c r="K870" s="11"/>
    </row>
    <row r="871" spans="1:11" s="14" customFormat="1" ht="75.599999999999994" customHeight="1" x14ac:dyDescent="0.25">
      <c r="A871" s="36">
        <v>858</v>
      </c>
      <c r="B871" s="40" t="s">
        <v>1251</v>
      </c>
      <c r="C871" s="11"/>
      <c r="D871" s="11" t="s">
        <v>1218</v>
      </c>
      <c r="E871" s="36">
        <v>17</v>
      </c>
      <c r="F871" s="11">
        <v>4</v>
      </c>
      <c r="G871" s="11" t="s">
        <v>32</v>
      </c>
      <c r="H871" s="22">
        <v>45988</v>
      </c>
      <c r="I871" s="22">
        <v>46013</v>
      </c>
      <c r="J871" s="12" t="s">
        <v>22</v>
      </c>
      <c r="K871" s="11"/>
    </row>
    <row r="872" spans="1:11" s="14" customFormat="1" ht="75.599999999999994" customHeight="1" x14ac:dyDescent="0.25">
      <c r="A872" s="36">
        <v>859</v>
      </c>
      <c r="B872" s="40" t="s">
        <v>1252</v>
      </c>
      <c r="C872" s="11"/>
      <c r="D872" s="11" t="s">
        <v>1218</v>
      </c>
      <c r="E872" s="36">
        <v>8</v>
      </c>
      <c r="F872" s="11"/>
      <c r="G872" s="11"/>
      <c r="H872" s="11"/>
      <c r="I872" s="11"/>
      <c r="J872" s="12" t="s">
        <v>13</v>
      </c>
      <c r="K872" s="11"/>
    </row>
    <row r="873" spans="1:11" s="14" customFormat="1" ht="75.599999999999994" customHeight="1" x14ac:dyDescent="0.25">
      <c r="A873" s="36">
        <v>860</v>
      </c>
      <c r="B873" s="40" t="s">
        <v>1253</v>
      </c>
      <c r="C873" s="11"/>
      <c r="D873" s="11" t="s">
        <v>1218</v>
      </c>
      <c r="E873" s="36">
        <v>8</v>
      </c>
      <c r="F873" s="11"/>
      <c r="G873" s="11"/>
      <c r="H873" s="11"/>
      <c r="I873" s="11"/>
      <c r="J873" s="12" t="s">
        <v>13</v>
      </c>
      <c r="K873" s="11"/>
    </row>
    <row r="874" spans="1:11" s="14" customFormat="1" ht="75.599999999999994" customHeight="1" x14ac:dyDescent="0.25">
      <c r="A874" s="36">
        <v>861</v>
      </c>
      <c r="B874" s="40" t="s">
        <v>1254</v>
      </c>
      <c r="C874" s="11"/>
      <c r="D874" s="11" t="s">
        <v>1218</v>
      </c>
      <c r="E874" s="36">
        <v>8</v>
      </c>
      <c r="F874" s="11">
        <v>1</v>
      </c>
      <c r="G874" s="11" t="s">
        <v>28</v>
      </c>
      <c r="H874" s="22">
        <v>45993</v>
      </c>
      <c r="I874" s="22">
        <v>46013</v>
      </c>
      <c r="J874" s="12" t="s">
        <v>22</v>
      </c>
      <c r="K874" s="11"/>
    </row>
    <row r="875" spans="1:11" s="14" customFormat="1" ht="75.599999999999994" customHeight="1" x14ac:dyDescent="0.25">
      <c r="A875" s="36">
        <v>862</v>
      </c>
      <c r="B875" s="40" t="s">
        <v>1255</v>
      </c>
      <c r="C875" s="11"/>
      <c r="D875" s="11" t="s">
        <v>1218</v>
      </c>
      <c r="E875" s="36">
        <v>8</v>
      </c>
      <c r="F875" s="11"/>
      <c r="G875" s="11"/>
      <c r="H875" s="11"/>
      <c r="I875" s="11"/>
      <c r="J875" s="12" t="s">
        <v>13</v>
      </c>
      <c r="K875" s="11"/>
    </row>
    <row r="876" spans="1:11" s="14" customFormat="1" ht="75.599999999999994" customHeight="1" x14ac:dyDescent="0.25">
      <c r="A876" s="36">
        <v>865</v>
      </c>
      <c r="B876" s="49" t="s">
        <v>1256</v>
      </c>
      <c r="C876" s="11"/>
      <c r="D876" s="11" t="s">
        <v>1218</v>
      </c>
      <c r="E876" s="36">
        <v>1</v>
      </c>
      <c r="F876" s="11">
        <v>3</v>
      </c>
      <c r="G876" s="11" t="s">
        <v>32</v>
      </c>
      <c r="H876" s="22">
        <v>45987</v>
      </c>
      <c r="I876" s="22">
        <v>46013</v>
      </c>
      <c r="J876" s="12" t="s">
        <v>22</v>
      </c>
      <c r="K876" s="11"/>
    </row>
    <row r="877" spans="1:11" s="14" customFormat="1" ht="75.599999999999994" customHeight="1" x14ac:dyDescent="0.25">
      <c r="A877" s="36">
        <v>866</v>
      </c>
      <c r="B877" s="40" t="s">
        <v>1257</v>
      </c>
      <c r="C877" s="11"/>
      <c r="D877" s="11" t="s">
        <v>1218</v>
      </c>
      <c r="E877" s="36">
        <v>2</v>
      </c>
      <c r="F877" s="11"/>
      <c r="G877" s="11"/>
      <c r="H877" s="11"/>
      <c r="I877" s="11"/>
      <c r="J877" s="12" t="s">
        <v>13</v>
      </c>
      <c r="K877" s="11"/>
    </row>
    <row r="878" spans="1:11" s="14" customFormat="1" ht="75.599999999999994" customHeight="1" x14ac:dyDescent="0.25">
      <c r="A878" s="36">
        <v>867</v>
      </c>
      <c r="B878" s="40" t="s">
        <v>1258</v>
      </c>
      <c r="C878" s="11"/>
      <c r="D878" s="11" t="s">
        <v>1218</v>
      </c>
      <c r="E878" s="36">
        <v>3</v>
      </c>
      <c r="F878" s="11">
        <v>3</v>
      </c>
      <c r="G878" s="11" t="s">
        <v>32</v>
      </c>
      <c r="H878" s="22">
        <v>45987</v>
      </c>
      <c r="I878" s="22">
        <v>46013</v>
      </c>
      <c r="J878" s="12" t="s">
        <v>22</v>
      </c>
      <c r="K878" s="11"/>
    </row>
    <row r="879" spans="1:11" s="14" customFormat="1" ht="75.599999999999994" customHeight="1" x14ac:dyDescent="0.25">
      <c r="A879" s="36">
        <v>868</v>
      </c>
      <c r="B879" s="40" t="s">
        <v>1259</v>
      </c>
      <c r="C879" s="11"/>
      <c r="D879" s="11" t="s">
        <v>1218</v>
      </c>
      <c r="E879" s="36">
        <v>0.5</v>
      </c>
      <c r="F879" s="11"/>
      <c r="G879" s="11"/>
      <c r="H879" s="11"/>
      <c r="I879" s="11"/>
      <c r="J879" s="12" t="s">
        <v>13</v>
      </c>
      <c r="K879" s="11"/>
    </row>
    <row r="880" spans="1:11" s="14" customFormat="1" ht="75.599999999999994" customHeight="1" x14ac:dyDescent="0.25">
      <c r="A880" s="36">
        <v>869</v>
      </c>
      <c r="B880" s="40" t="s">
        <v>1260</v>
      </c>
      <c r="C880" s="11"/>
      <c r="D880" s="11" t="s">
        <v>1218</v>
      </c>
      <c r="E880" s="36">
        <v>4</v>
      </c>
      <c r="F880" s="11">
        <v>4</v>
      </c>
      <c r="G880" s="11" t="s">
        <v>32</v>
      </c>
      <c r="H880" s="22">
        <v>45988</v>
      </c>
      <c r="I880" s="22">
        <v>46013</v>
      </c>
      <c r="J880" s="12" t="s">
        <v>22</v>
      </c>
      <c r="K880" s="11"/>
    </row>
    <row r="881" spans="1:11" s="14" customFormat="1" ht="75.599999999999994" customHeight="1" x14ac:dyDescent="0.25">
      <c r="A881" s="36">
        <v>870</v>
      </c>
      <c r="B881" s="40" t="s">
        <v>1261</v>
      </c>
      <c r="C881" s="11"/>
      <c r="D881" s="11" t="s">
        <v>1218</v>
      </c>
      <c r="E881" s="36">
        <v>4</v>
      </c>
      <c r="F881" s="11"/>
      <c r="G881" s="11"/>
      <c r="H881" s="11"/>
      <c r="I881" s="11"/>
      <c r="J881" s="12" t="s">
        <v>13</v>
      </c>
      <c r="K881" s="11"/>
    </row>
    <row r="882" spans="1:11" s="14" customFormat="1" ht="75.599999999999994" customHeight="1" x14ac:dyDescent="0.25">
      <c r="A882" s="36">
        <v>885</v>
      </c>
      <c r="B882" s="49" t="s">
        <v>1262</v>
      </c>
      <c r="C882" s="11"/>
      <c r="D882" s="11" t="s">
        <v>1218</v>
      </c>
      <c r="E882" s="36">
        <v>4</v>
      </c>
      <c r="F882" s="11">
        <v>17</v>
      </c>
      <c r="G882" s="11" t="s">
        <v>92</v>
      </c>
      <c r="H882" s="22">
        <v>46076</v>
      </c>
      <c r="I882" s="22">
        <v>46099</v>
      </c>
      <c r="J882" s="12" t="s">
        <v>22</v>
      </c>
      <c r="K882" s="11"/>
    </row>
    <row r="883" spans="1:11" s="14" customFormat="1" ht="75.599999999999994" customHeight="1" x14ac:dyDescent="0.25">
      <c r="A883" s="36">
        <v>886</v>
      </c>
      <c r="B883" s="40" t="s">
        <v>1263</v>
      </c>
      <c r="C883" s="11"/>
      <c r="D883" s="11" t="s">
        <v>1218</v>
      </c>
      <c r="E883" s="36">
        <v>0.1</v>
      </c>
      <c r="F883" s="11">
        <v>8</v>
      </c>
      <c r="G883" s="11" t="s">
        <v>92</v>
      </c>
      <c r="H883" s="22">
        <v>45999</v>
      </c>
      <c r="I883" s="22">
        <v>46099</v>
      </c>
      <c r="J883" s="12" t="s">
        <v>22</v>
      </c>
      <c r="K883" s="11"/>
    </row>
    <row r="884" spans="1:11" s="14" customFormat="1" ht="75.599999999999994" customHeight="1" x14ac:dyDescent="0.25">
      <c r="A884" s="36">
        <v>887</v>
      </c>
      <c r="B884" s="40" t="s">
        <v>1264</v>
      </c>
      <c r="C884" s="11"/>
      <c r="D884" s="11" t="s">
        <v>1218</v>
      </c>
      <c r="E884" s="36">
        <v>1</v>
      </c>
      <c r="F884" s="11">
        <v>8</v>
      </c>
      <c r="G884" s="11" t="s">
        <v>92</v>
      </c>
      <c r="H884" s="22">
        <v>45999</v>
      </c>
      <c r="I884" s="22">
        <v>46099</v>
      </c>
      <c r="J884" s="12" t="s">
        <v>22</v>
      </c>
      <c r="K884" s="11"/>
    </row>
    <row r="885" spans="1:11" s="14" customFormat="1" ht="75.599999999999994" customHeight="1" x14ac:dyDescent="0.25">
      <c r="A885" s="36">
        <v>888</v>
      </c>
      <c r="B885" s="40" t="s">
        <v>1265</v>
      </c>
      <c r="C885" s="11"/>
      <c r="D885" s="11" t="s">
        <v>1218</v>
      </c>
      <c r="E885" s="36">
        <v>2.15</v>
      </c>
      <c r="F885" s="11">
        <v>8</v>
      </c>
      <c r="G885" s="11" t="s">
        <v>92</v>
      </c>
      <c r="H885" s="22">
        <v>45999</v>
      </c>
      <c r="I885" s="22">
        <v>46099</v>
      </c>
      <c r="J885" s="12" t="s">
        <v>22</v>
      </c>
      <c r="K885" s="11"/>
    </row>
    <row r="886" spans="1:11" s="14" customFormat="1" ht="75.599999999999994" customHeight="1" x14ac:dyDescent="0.25">
      <c r="A886" s="36">
        <v>889</v>
      </c>
      <c r="B886" s="40" t="s">
        <v>1266</v>
      </c>
      <c r="C886" s="11"/>
      <c r="D886" s="11" t="s">
        <v>1218</v>
      </c>
      <c r="E886" s="36">
        <v>0.25</v>
      </c>
      <c r="F886" s="11">
        <v>8</v>
      </c>
      <c r="G886" s="11" t="s">
        <v>92</v>
      </c>
      <c r="H886" s="22">
        <v>45999</v>
      </c>
      <c r="I886" s="22">
        <v>46099</v>
      </c>
      <c r="J886" s="12" t="s">
        <v>22</v>
      </c>
      <c r="K886" s="11"/>
    </row>
    <row r="887" spans="1:11" s="14" customFormat="1" ht="75.599999999999994" customHeight="1" x14ac:dyDescent="0.25">
      <c r="A887" s="36">
        <v>890</v>
      </c>
      <c r="B887" s="49" t="s">
        <v>1267</v>
      </c>
      <c r="C887" s="11"/>
      <c r="D887" s="11" t="s">
        <v>1218</v>
      </c>
      <c r="E887" s="36">
        <v>2</v>
      </c>
      <c r="F887" s="11"/>
      <c r="G887" s="11"/>
      <c r="H887" s="22">
        <v>45999</v>
      </c>
      <c r="I887" s="11"/>
      <c r="J887" s="12" t="s">
        <v>13</v>
      </c>
      <c r="K887" s="11"/>
    </row>
    <row r="888" spans="1:11" s="14" customFormat="1" ht="75.599999999999994" customHeight="1" x14ac:dyDescent="0.25">
      <c r="A888" s="36">
        <v>891</v>
      </c>
      <c r="B888" s="40" t="s">
        <v>1268</v>
      </c>
      <c r="C888" s="11"/>
      <c r="D888" s="11" t="s">
        <v>1218</v>
      </c>
      <c r="E888" s="36">
        <v>2.15</v>
      </c>
      <c r="F888" s="11">
        <v>2</v>
      </c>
      <c r="G888" s="11" t="s">
        <v>92</v>
      </c>
      <c r="H888" s="22">
        <v>46000</v>
      </c>
      <c r="I888" s="22">
        <v>45699</v>
      </c>
      <c r="J888" s="12" t="s">
        <v>22</v>
      </c>
      <c r="K888" s="11"/>
    </row>
    <row r="889" spans="1:11" s="14" customFormat="1" ht="75.599999999999994" customHeight="1" x14ac:dyDescent="0.25">
      <c r="A889" s="36">
        <v>892</v>
      </c>
      <c r="B889" s="40" t="s">
        <v>1269</v>
      </c>
      <c r="C889" s="11"/>
      <c r="D889" s="11" t="s">
        <v>1218</v>
      </c>
      <c r="E889" s="36">
        <v>50</v>
      </c>
      <c r="F889" s="11">
        <v>1</v>
      </c>
      <c r="G889" s="11" t="s">
        <v>92</v>
      </c>
      <c r="H889" s="22">
        <v>45970</v>
      </c>
      <c r="I889" s="22">
        <v>45699</v>
      </c>
      <c r="J889" s="12" t="s">
        <v>22</v>
      </c>
      <c r="K889" s="11"/>
    </row>
    <row r="890" spans="1:11" s="14" customFormat="1" ht="75.599999999999994" customHeight="1" x14ac:dyDescent="0.25">
      <c r="A890" s="36">
        <v>893</v>
      </c>
      <c r="B890" s="40" t="s">
        <v>1270</v>
      </c>
      <c r="C890" s="11"/>
      <c r="D890" s="11" t="s">
        <v>1218</v>
      </c>
      <c r="E890" s="36">
        <v>2</v>
      </c>
      <c r="F890" s="11"/>
      <c r="G890" s="11"/>
      <c r="H890" s="11"/>
      <c r="I890" s="11"/>
      <c r="J890" s="12" t="s">
        <v>13</v>
      </c>
      <c r="K890" s="11"/>
    </row>
    <row r="891" spans="1:11" s="14" customFormat="1" ht="75.599999999999994" customHeight="1" x14ac:dyDescent="0.25">
      <c r="A891" s="36">
        <v>894</v>
      </c>
      <c r="B891" s="40" t="s">
        <v>1271</v>
      </c>
      <c r="C891" s="11"/>
      <c r="D891" s="11" t="s">
        <v>1218</v>
      </c>
      <c r="E891" s="36">
        <v>1</v>
      </c>
      <c r="F891" s="11"/>
      <c r="G891" s="11"/>
      <c r="H891" s="11"/>
      <c r="I891" s="11"/>
      <c r="J891" s="12" t="s">
        <v>13</v>
      </c>
      <c r="K891" s="11"/>
    </row>
    <row r="892" spans="1:11" s="14" customFormat="1" ht="75.599999999999994" customHeight="1" x14ac:dyDescent="0.25">
      <c r="A892" s="36">
        <v>895</v>
      </c>
      <c r="B892" s="40" t="s">
        <v>1272</v>
      </c>
      <c r="C892" s="11"/>
      <c r="D892" s="11" t="s">
        <v>1218</v>
      </c>
      <c r="E892" s="36">
        <v>0.25</v>
      </c>
      <c r="F892" s="11">
        <v>1</v>
      </c>
      <c r="G892" s="11" t="s">
        <v>92</v>
      </c>
      <c r="H892" s="22">
        <v>46027</v>
      </c>
      <c r="I892" s="22">
        <v>46064</v>
      </c>
      <c r="J892" s="12" t="s">
        <v>22</v>
      </c>
      <c r="K892" s="11"/>
    </row>
    <row r="893" spans="1:11" s="14" customFormat="1" ht="75.599999999999994" customHeight="1" x14ac:dyDescent="0.25">
      <c r="A893" s="36">
        <v>896</v>
      </c>
      <c r="B893" s="40" t="s">
        <v>1273</v>
      </c>
      <c r="C893" s="11"/>
      <c r="D893" s="11" t="s">
        <v>1218</v>
      </c>
      <c r="E893" s="36">
        <v>0.17</v>
      </c>
      <c r="F893" s="11">
        <v>2</v>
      </c>
      <c r="G893" s="11" t="s">
        <v>92</v>
      </c>
      <c r="H893" s="22">
        <v>46006</v>
      </c>
      <c r="I893" s="22">
        <v>46064</v>
      </c>
      <c r="J893" s="12" t="s">
        <v>22</v>
      </c>
      <c r="K893" s="11"/>
    </row>
    <row r="894" spans="1:11" s="14" customFormat="1" ht="75.599999999999994" customHeight="1" x14ac:dyDescent="0.25">
      <c r="A894" s="36">
        <v>897</v>
      </c>
      <c r="B894" s="40" t="s">
        <v>1274</v>
      </c>
      <c r="C894" s="11"/>
      <c r="D894" s="11" t="s">
        <v>1218</v>
      </c>
      <c r="E894" s="36">
        <v>0.25</v>
      </c>
      <c r="F894" s="11">
        <v>3</v>
      </c>
      <c r="G894" s="11" t="s">
        <v>92</v>
      </c>
      <c r="H894" s="22">
        <v>46021</v>
      </c>
      <c r="I894" s="22">
        <v>46064</v>
      </c>
      <c r="J894" s="12" t="s">
        <v>22</v>
      </c>
      <c r="K894" s="11"/>
    </row>
    <row r="895" spans="1:11" s="14" customFormat="1" ht="75.599999999999994" customHeight="1" x14ac:dyDescent="0.25">
      <c r="A895" s="36">
        <v>898</v>
      </c>
      <c r="B895" s="40" t="s">
        <v>1275</v>
      </c>
      <c r="C895" s="11"/>
      <c r="D895" s="11" t="s">
        <v>1218</v>
      </c>
      <c r="E895" s="36">
        <v>0.25</v>
      </c>
      <c r="F895" s="11">
        <v>0.5</v>
      </c>
      <c r="G895" s="11" t="s">
        <v>92</v>
      </c>
      <c r="H895" s="22">
        <v>46006</v>
      </c>
      <c r="I895" s="22">
        <v>46064</v>
      </c>
      <c r="J895" s="12" t="s">
        <v>22</v>
      </c>
      <c r="K895" s="11"/>
    </row>
    <row r="896" spans="1:11" s="14" customFormat="1" ht="75.599999999999994" customHeight="1" x14ac:dyDescent="0.25">
      <c r="A896" s="36">
        <v>906</v>
      </c>
      <c r="B896" s="49" t="s">
        <v>1276</v>
      </c>
      <c r="C896" s="11"/>
      <c r="D896" s="11" t="s">
        <v>1218</v>
      </c>
      <c r="E896" s="36">
        <v>2</v>
      </c>
      <c r="F896" s="11"/>
      <c r="G896" s="11"/>
      <c r="H896" s="11"/>
      <c r="I896" s="11"/>
      <c r="J896" s="12" t="s">
        <v>13</v>
      </c>
      <c r="K896" s="11"/>
    </row>
    <row r="897" spans="1:11" s="14" customFormat="1" ht="75.599999999999994" customHeight="1" x14ac:dyDescent="0.25">
      <c r="A897" s="36">
        <v>907</v>
      </c>
      <c r="B897" s="49" t="s">
        <v>1277</v>
      </c>
      <c r="C897" s="11"/>
      <c r="D897" s="11" t="s">
        <v>1218</v>
      </c>
      <c r="E897" s="36">
        <v>0.08</v>
      </c>
      <c r="F897" s="11"/>
      <c r="G897" s="11"/>
      <c r="H897" s="11"/>
      <c r="I897" s="11"/>
      <c r="J897" s="12" t="s">
        <v>13</v>
      </c>
      <c r="K897" s="11"/>
    </row>
    <row r="898" spans="1:11" s="14" customFormat="1" ht="75.599999999999994" customHeight="1" x14ac:dyDescent="0.25">
      <c r="A898" s="36">
        <v>908</v>
      </c>
      <c r="B898" s="49" t="s">
        <v>1278</v>
      </c>
      <c r="C898" s="11"/>
      <c r="D898" s="11" t="s">
        <v>1218</v>
      </c>
      <c r="E898" s="36">
        <v>0.08</v>
      </c>
      <c r="F898" s="11"/>
      <c r="G898" s="11"/>
      <c r="H898" s="11"/>
      <c r="I898" s="11"/>
      <c r="J898" s="12" t="s">
        <v>13</v>
      </c>
      <c r="K898" s="11"/>
    </row>
    <row r="899" spans="1:11" s="14" customFormat="1" ht="75.599999999999994" customHeight="1" x14ac:dyDescent="0.25">
      <c r="A899" s="36">
        <v>909</v>
      </c>
      <c r="B899" s="49" t="s">
        <v>1279</v>
      </c>
      <c r="C899" s="11"/>
      <c r="D899" s="11" t="s">
        <v>1218</v>
      </c>
      <c r="E899" s="36">
        <v>0.08</v>
      </c>
      <c r="F899" s="11"/>
      <c r="G899" s="11"/>
      <c r="H899" s="11"/>
      <c r="I899" s="11"/>
      <c r="J899" s="12" t="s">
        <v>13</v>
      </c>
      <c r="K899" s="11"/>
    </row>
    <row r="900" spans="1:11" s="14" customFormat="1" ht="75.599999999999994" customHeight="1" x14ac:dyDescent="0.25">
      <c r="A900" s="36">
        <v>910</v>
      </c>
      <c r="B900" s="49" t="s">
        <v>1280</v>
      </c>
      <c r="C900" s="11"/>
      <c r="D900" s="11" t="s">
        <v>1218</v>
      </c>
      <c r="E900" s="36">
        <v>0.08</v>
      </c>
      <c r="F900" s="11"/>
      <c r="G900" s="11"/>
      <c r="H900" s="11"/>
      <c r="I900" s="11"/>
      <c r="J900" s="12" t="s">
        <v>13</v>
      </c>
      <c r="K900" s="11"/>
    </row>
    <row r="901" spans="1:11" s="14" customFormat="1" ht="90.6" customHeight="1" x14ac:dyDescent="0.25">
      <c r="A901" s="36">
        <v>947</v>
      </c>
      <c r="B901" s="49" t="s">
        <v>1217</v>
      </c>
      <c r="C901" s="11"/>
      <c r="D901" s="11" t="s">
        <v>1218</v>
      </c>
      <c r="E901" s="36">
        <v>4</v>
      </c>
      <c r="F901" s="11">
        <v>4</v>
      </c>
      <c r="G901" s="11" t="s">
        <v>92</v>
      </c>
      <c r="H901" s="22">
        <v>46003</v>
      </c>
      <c r="I901" s="22">
        <v>46064</v>
      </c>
      <c r="J901" s="12" t="s">
        <v>22</v>
      </c>
      <c r="K901" s="11"/>
    </row>
    <row r="902" spans="1:11" s="14" customFormat="1" ht="75.599999999999994" customHeight="1" x14ac:dyDescent="0.25">
      <c r="A902" s="36">
        <v>948</v>
      </c>
      <c r="B902" s="49" t="s">
        <v>1219</v>
      </c>
      <c r="C902" s="11"/>
      <c r="D902" s="11" t="s">
        <v>1218</v>
      </c>
      <c r="E902" s="36">
        <v>8</v>
      </c>
      <c r="F902" s="11">
        <v>5</v>
      </c>
      <c r="G902" s="11" t="s">
        <v>92</v>
      </c>
      <c r="H902" s="22">
        <v>45999</v>
      </c>
      <c r="I902" s="22">
        <v>46064</v>
      </c>
      <c r="J902" s="12" t="s">
        <v>22</v>
      </c>
      <c r="K902" s="11"/>
    </row>
    <row r="903" spans="1:11" s="14" customFormat="1" ht="75.599999999999994" customHeight="1" x14ac:dyDescent="0.25">
      <c r="A903" s="36">
        <v>949</v>
      </c>
      <c r="B903" s="49" t="s">
        <v>1220</v>
      </c>
      <c r="C903" s="11"/>
      <c r="D903" s="11" t="s">
        <v>1218</v>
      </c>
      <c r="E903" s="36">
        <v>8</v>
      </c>
      <c r="F903" s="11">
        <v>8</v>
      </c>
      <c r="G903" s="11" t="s">
        <v>92</v>
      </c>
      <c r="H903" s="22">
        <v>46009</v>
      </c>
      <c r="I903" s="22">
        <v>46064</v>
      </c>
      <c r="J903" s="12" t="s">
        <v>22</v>
      </c>
      <c r="K903" s="11"/>
    </row>
    <row r="904" spans="1:11" s="14" customFormat="1" ht="75.599999999999994" customHeight="1" x14ac:dyDescent="0.25">
      <c r="A904" s="36">
        <v>950</v>
      </c>
      <c r="B904" s="49" t="s">
        <v>1221</v>
      </c>
      <c r="C904" s="11"/>
      <c r="D904" s="11" t="s">
        <v>1218</v>
      </c>
      <c r="E904" s="36">
        <v>1</v>
      </c>
      <c r="F904" s="11">
        <v>1</v>
      </c>
      <c r="G904" s="11" t="s">
        <v>92</v>
      </c>
      <c r="H904" s="22">
        <v>46004</v>
      </c>
      <c r="I904" s="22">
        <v>46064</v>
      </c>
      <c r="J904" s="12" t="s">
        <v>22</v>
      </c>
      <c r="K904" s="11"/>
    </row>
    <row r="905" spans="1:11" s="14" customFormat="1" ht="75.599999999999994" customHeight="1" x14ac:dyDescent="0.25">
      <c r="A905" s="36">
        <v>951</v>
      </c>
      <c r="B905" s="49" t="s">
        <v>1222</v>
      </c>
      <c r="C905" s="11"/>
      <c r="D905" s="11" t="s">
        <v>1218</v>
      </c>
      <c r="E905" s="36">
        <v>1</v>
      </c>
      <c r="F905" s="11">
        <v>1</v>
      </c>
      <c r="G905" s="11" t="s">
        <v>92</v>
      </c>
      <c r="H905" s="22">
        <v>46004</v>
      </c>
      <c r="I905" s="22">
        <v>46064</v>
      </c>
      <c r="J905" s="12" t="s">
        <v>22</v>
      </c>
      <c r="K905" s="11"/>
    </row>
    <row r="906" spans="1:11" s="14" customFormat="1" ht="75.599999999999994" customHeight="1" x14ac:dyDescent="0.25">
      <c r="A906" s="36">
        <v>952</v>
      </c>
      <c r="B906" s="49" t="s">
        <v>1223</v>
      </c>
      <c r="C906" s="11"/>
      <c r="D906" s="11" t="s">
        <v>1218</v>
      </c>
      <c r="E906" s="36">
        <v>1</v>
      </c>
      <c r="F906" s="11">
        <v>1</v>
      </c>
      <c r="G906" s="11" t="s">
        <v>92</v>
      </c>
      <c r="H906" s="22">
        <v>46004</v>
      </c>
      <c r="I906" s="22">
        <v>46064</v>
      </c>
      <c r="J906" s="12" t="s">
        <v>22</v>
      </c>
      <c r="K906" s="11"/>
    </row>
    <row r="907" spans="1:11" s="14" customFormat="1" ht="75.599999999999994" customHeight="1" x14ac:dyDescent="0.25">
      <c r="A907" s="36">
        <v>953</v>
      </c>
      <c r="B907" s="49" t="s">
        <v>1224</v>
      </c>
      <c r="C907" s="11"/>
      <c r="D907" s="11" t="s">
        <v>1218</v>
      </c>
      <c r="E907" s="36">
        <v>1</v>
      </c>
      <c r="F907" s="11">
        <v>1</v>
      </c>
      <c r="G907" s="11" t="s">
        <v>92</v>
      </c>
      <c r="H907" s="22">
        <v>46004</v>
      </c>
      <c r="I907" s="22">
        <v>46064</v>
      </c>
      <c r="J907" s="12" t="s">
        <v>22</v>
      </c>
      <c r="K907" s="11"/>
    </row>
    <row r="908" spans="1:11" s="14" customFormat="1" ht="88.7" customHeight="1" x14ac:dyDescent="0.25">
      <c r="A908" s="36">
        <v>954</v>
      </c>
      <c r="B908" s="49" t="s">
        <v>1225</v>
      </c>
      <c r="C908" s="11"/>
      <c r="D908" s="11" t="s">
        <v>1218</v>
      </c>
      <c r="E908" s="36">
        <v>1</v>
      </c>
      <c r="F908" s="11">
        <v>1</v>
      </c>
      <c r="G908" s="11" t="s">
        <v>92</v>
      </c>
      <c r="H908" s="22">
        <v>46008</v>
      </c>
      <c r="I908" s="22">
        <v>46064</v>
      </c>
      <c r="J908" s="12" t="s">
        <v>22</v>
      </c>
      <c r="K908" s="11"/>
    </row>
    <row r="909" spans="1:11" s="14" customFormat="1" ht="75.599999999999994" customHeight="1" x14ac:dyDescent="0.25">
      <c r="A909" s="36">
        <v>955</v>
      </c>
      <c r="B909" s="49" t="s">
        <v>1281</v>
      </c>
      <c r="C909" s="11"/>
      <c r="D909" s="11" t="s">
        <v>1218</v>
      </c>
      <c r="E909" s="36">
        <v>3</v>
      </c>
      <c r="F909" s="11"/>
      <c r="G909" s="11"/>
      <c r="H909" s="11"/>
      <c r="I909" s="11"/>
      <c r="J909" s="12" t="s">
        <v>13</v>
      </c>
      <c r="K909" s="11"/>
    </row>
    <row r="910" spans="1:11" s="14" customFormat="1" ht="75.599999999999994" customHeight="1" x14ac:dyDescent="0.25">
      <c r="A910" s="36">
        <v>956</v>
      </c>
      <c r="B910" s="49" t="s">
        <v>1282</v>
      </c>
      <c r="C910" s="11"/>
      <c r="D910" s="11" t="s">
        <v>1218</v>
      </c>
      <c r="E910" s="36">
        <v>3</v>
      </c>
      <c r="F910" s="11"/>
      <c r="G910" s="11"/>
      <c r="H910" s="11"/>
      <c r="I910" s="11"/>
      <c r="J910" s="12" t="s">
        <v>13</v>
      </c>
      <c r="K910" s="11"/>
    </row>
    <row r="911" spans="1:11" s="14" customFormat="1" ht="75.599999999999994" customHeight="1" x14ac:dyDescent="0.25">
      <c r="A911" s="36">
        <v>957</v>
      </c>
      <c r="B911" s="49" t="s">
        <v>1283</v>
      </c>
      <c r="C911" s="11"/>
      <c r="D911" s="11" t="s">
        <v>1218</v>
      </c>
      <c r="E911" s="36">
        <v>2</v>
      </c>
      <c r="F911" s="11"/>
      <c r="G911" s="11"/>
      <c r="H911" s="11"/>
      <c r="I911" s="11"/>
      <c r="J911" s="12" t="s">
        <v>13</v>
      </c>
      <c r="K911" s="11"/>
    </row>
    <row r="912" spans="1:11" s="14" customFormat="1" ht="75.599999999999994" customHeight="1" x14ac:dyDescent="0.25">
      <c r="A912" s="36">
        <v>958</v>
      </c>
      <c r="B912" s="49" t="s">
        <v>1284</v>
      </c>
      <c r="C912" s="11"/>
      <c r="D912" s="11" t="s">
        <v>1218</v>
      </c>
      <c r="E912" s="36">
        <v>2</v>
      </c>
      <c r="F912" s="11"/>
      <c r="G912" s="11"/>
      <c r="H912" s="11"/>
      <c r="I912" s="11"/>
      <c r="J912" s="12" t="s">
        <v>13</v>
      </c>
      <c r="K912" s="11"/>
    </row>
    <row r="913" spans="1:11" s="14" customFormat="1" ht="75.599999999999994" customHeight="1" x14ac:dyDescent="0.25">
      <c r="A913" s="36">
        <v>959</v>
      </c>
      <c r="B913" s="49" t="s">
        <v>1285</v>
      </c>
      <c r="C913" s="11"/>
      <c r="D913" s="11" t="s">
        <v>1218</v>
      </c>
      <c r="E913" s="36">
        <v>2</v>
      </c>
      <c r="F913" s="11"/>
      <c r="G913" s="11"/>
      <c r="H913" s="11"/>
      <c r="I913" s="11"/>
      <c r="J913" s="12" t="s">
        <v>13</v>
      </c>
      <c r="K913" s="11"/>
    </row>
    <row r="914" spans="1:11" s="14" customFormat="1" ht="75.599999999999994" customHeight="1" x14ac:dyDescent="0.25">
      <c r="A914" s="36">
        <v>960</v>
      </c>
      <c r="B914" s="49" t="s">
        <v>1286</v>
      </c>
      <c r="C914" s="11"/>
      <c r="D914" s="11" t="s">
        <v>1218</v>
      </c>
      <c r="E914" s="36">
        <v>2</v>
      </c>
      <c r="F914" s="11"/>
      <c r="G914" s="11"/>
      <c r="H914" s="11"/>
      <c r="I914" s="11"/>
      <c r="J914" s="12" t="s">
        <v>13</v>
      </c>
      <c r="K914" s="11"/>
    </row>
    <row r="915" spans="1:11" s="14" customFormat="1" ht="75.599999999999994" customHeight="1" x14ac:dyDescent="0.25">
      <c r="A915" s="36">
        <v>961</v>
      </c>
      <c r="B915" s="49" t="s">
        <v>1287</v>
      </c>
      <c r="C915" s="11"/>
      <c r="D915" s="11" t="s">
        <v>1218</v>
      </c>
      <c r="E915" s="36">
        <v>3</v>
      </c>
      <c r="F915" s="11"/>
      <c r="G915" s="11"/>
      <c r="H915" s="11"/>
      <c r="I915" s="11"/>
      <c r="J915" s="12" t="s">
        <v>13</v>
      </c>
      <c r="K915" s="11"/>
    </row>
    <row r="916" spans="1:11" s="14" customFormat="1" ht="75.599999999999994" customHeight="1" x14ac:dyDescent="0.25">
      <c r="A916" s="36">
        <v>962</v>
      </c>
      <c r="B916" s="49" t="s">
        <v>1288</v>
      </c>
      <c r="C916" s="11"/>
      <c r="D916" s="11" t="s">
        <v>1218</v>
      </c>
      <c r="E916" s="36">
        <v>3</v>
      </c>
      <c r="F916" s="11"/>
      <c r="G916" s="11"/>
      <c r="H916" s="11"/>
      <c r="I916" s="11"/>
      <c r="J916" s="12" t="s">
        <v>13</v>
      </c>
      <c r="K916" s="11"/>
    </row>
    <row r="917" spans="1:11" s="14" customFormat="1" ht="75.599999999999994" customHeight="1" x14ac:dyDescent="0.25">
      <c r="A917" s="36">
        <v>963</v>
      </c>
      <c r="B917" s="49" t="s">
        <v>1289</v>
      </c>
      <c r="C917" s="11"/>
      <c r="D917" s="11" t="s">
        <v>1218</v>
      </c>
      <c r="E917" s="36">
        <v>1</v>
      </c>
      <c r="F917" s="11">
        <v>1</v>
      </c>
      <c r="G917" s="11" t="s">
        <v>92</v>
      </c>
      <c r="H917" s="22">
        <v>46008</v>
      </c>
      <c r="I917" s="22">
        <v>46070</v>
      </c>
      <c r="J917" s="12" t="s">
        <v>22</v>
      </c>
      <c r="K917" s="11"/>
    </row>
    <row r="918" spans="1:11" s="14" customFormat="1" ht="75.599999999999994" customHeight="1" x14ac:dyDescent="0.25">
      <c r="A918" s="36">
        <v>964</v>
      </c>
      <c r="B918" s="49" t="s">
        <v>1290</v>
      </c>
      <c r="C918" s="11"/>
      <c r="D918" s="11" t="s">
        <v>1218</v>
      </c>
      <c r="E918" s="36">
        <v>2</v>
      </c>
      <c r="F918" s="11"/>
      <c r="G918" s="11"/>
      <c r="H918" s="11"/>
      <c r="I918" s="11"/>
      <c r="J918" s="12" t="s">
        <v>13</v>
      </c>
      <c r="K918" s="11"/>
    </row>
    <row r="919" spans="1:11" s="14" customFormat="1" ht="75.599999999999994" customHeight="1" x14ac:dyDescent="0.25">
      <c r="A919" s="36">
        <v>965</v>
      </c>
      <c r="B919" s="49" t="s">
        <v>1291</v>
      </c>
      <c r="C919" s="11"/>
      <c r="D919" s="11" t="s">
        <v>1218</v>
      </c>
      <c r="E919" s="36">
        <v>2</v>
      </c>
      <c r="F919" s="11"/>
      <c r="G919" s="11"/>
      <c r="H919" s="11"/>
      <c r="I919" s="11"/>
      <c r="J919" s="12" t="s">
        <v>13</v>
      </c>
      <c r="K919" s="11"/>
    </row>
    <row r="920" spans="1:11" s="14" customFormat="1" ht="75.599999999999994" customHeight="1" x14ac:dyDescent="0.25">
      <c r="A920" s="36">
        <v>966</v>
      </c>
      <c r="B920" s="49" t="s">
        <v>1292</v>
      </c>
      <c r="C920" s="11"/>
      <c r="D920" s="11" t="s">
        <v>1218</v>
      </c>
      <c r="E920" s="36">
        <v>1</v>
      </c>
      <c r="F920" s="11">
        <v>1</v>
      </c>
      <c r="G920" s="11" t="s">
        <v>92</v>
      </c>
      <c r="H920" s="22">
        <v>46008</v>
      </c>
      <c r="I920" s="22">
        <v>46064</v>
      </c>
      <c r="J920" s="12" t="s">
        <v>22</v>
      </c>
      <c r="K920" s="11"/>
    </row>
    <row r="921" spans="1:11" s="14" customFormat="1" ht="75.599999999999994" customHeight="1" x14ac:dyDescent="0.25">
      <c r="A921" s="36">
        <v>967</v>
      </c>
      <c r="B921" s="49" t="s">
        <v>1293</v>
      </c>
      <c r="C921" s="11"/>
      <c r="D921" s="11" t="s">
        <v>1218</v>
      </c>
      <c r="E921" s="36">
        <v>1</v>
      </c>
      <c r="F921" s="11"/>
      <c r="G921" s="11"/>
      <c r="H921" s="11"/>
      <c r="I921" s="11"/>
      <c r="J921" s="12" t="s">
        <v>13</v>
      </c>
      <c r="K921" s="11"/>
    </row>
    <row r="922" spans="1:11" s="14" customFormat="1" ht="75.599999999999994" customHeight="1" x14ac:dyDescent="0.25">
      <c r="A922" s="36">
        <v>968</v>
      </c>
      <c r="B922" s="49" t="s">
        <v>1294</v>
      </c>
      <c r="C922" s="11"/>
      <c r="D922" s="11" t="s">
        <v>1218</v>
      </c>
      <c r="E922" s="36">
        <v>1</v>
      </c>
      <c r="F922" s="11"/>
      <c r="G922" s="11"/>
      <c r="H922" s="11"/>
      <c r="I922" s="11"/>
      <c r="J922" s="12" t="s">
        <v>13</v>
      </c>
      <c r="K922" s="11"/>
    </row>
    <row r="923" spans="1:11" s="14" customFormat="1" ht="75.599999999999994" customHeight="1" x14ac:dyDescent="0.25">
      <c r="A923" s="36">
        <v>971</v>
      </c>
      <c r="B923" s="49" t="s">
        <v>1295</v>
      </c>
      <c r="C923" s="11"/>
      <c r="D923" s="11" t="s">
        <v>1218</v>
      </c>
      <c r="E923" s="36">
        <v>1.5</v>
      </c>
      <c r="F923" s="11">
        <v>2</v>
      </c>
      <c r="G923" s="11" t="s">
        <v>92</v>
      </c>
      <c r="H923" s="22">
        <v>46027</v>
      </c>
      <c r="I923" s="22">
        <v>46367</v>
      </c>
      <c r="J923" s="12" t="s">
        <v>22</v>
      </c>
      <c r="K923" s="11"/>
    </row>
    <row r="924" spans="1:11" s="14" customFormat="1" ht="75.599999999999994" customHeight="1" x14ac:dyDescent="0.25">
      <c r="A924" s="36">
        <v>972</v>
      </c>
      <c r="B924" s="49" t="s">
        <v>1228</v>
      </c>
      <c r="C924" s="11"/>
      <c r="D924" s="11" t="s">
        <v>1218</v>
      </c>
      <c r="E924" s="36">
        <v>1.5</v>
      </c>
      <c r="F924" s="11">
        <v>2</v>
      </c>
      <c r="G924" s="11" t="s">
        <v>92</v>
      </c>
      <c r="H924" s="22">
        <v>46027</v>
      </c>
      <c r="I924" s="22">
        <v>46367</v>
      </c>
      <c r="J924" s="12" t="s">
        <v>22</v>
      </c>
      <c r="K924" s="11"/>
    </row>
    <row r="925" spans="1:11" s="14" customFormat="1" ht="75.599999999999994" customHeight="1" x14ac:dyDescent="0.25">
      <c r="A925" s="36">
        <v>973</v>
      </c>
      <c r="B925" s="49" t="s">
        <v>1296</v>
      </c>
      <c r="C925" s="11"/>
      <c r="D925" s="11" t="s">
        <v>1218</v>
      </c>
      <c r="E925" s="36">
        <v>1.5</v>
      </c>
      <c r="F925" s="11"/>
      <c r="G925" s="11"/>
      <c r="H925" s="11"/>
      <c r="I925" s="11"/>
      <c r="J925" s="12" t="s">
        <v>13</v>
      </c>
      <c r="K925" s="11"/>
    </row>
    <row r="926" spans="1:11" s="14" customFormat="1" ht="75.599999999999994" customHeight="1" x14ac:dyDescent="0.25">
      <c r="A926" s="36">
        <v>974</v>
      </c>
      <c r="B926" s="49" t="s">
        <v>1297</v>
      </c>
      <c r="C926" s="11"/>
      <c r="D926" s="11" t="s">
        <v>1218</v>
      </c>
      <c r="E926" s="36">
        <v>1.5</v>
      </c>
      <c r="F926" s="11"/>
      <c r="G926" s="11"/>
      <c r="H926" s="11"/>
      <c r="I926" s="11"/>
      <c r="J926" s="12" t="s">
        <v>13</v>
      </c>
      <c r="K926" s="11"/>
    </row>
    <row r="927" spans="1:11" s="14" customFormat="1" ht="75.599999999999994" customHeight="1" x14ac:dyDescent="0.25">
      <c r="A927" s="36">
        <v>975</v>
      </c>
      <c r="B927" s="49" t="s">
        <v>1298</v>
      </c>
      <c r="C927" s="11"/>
      <c r="D927" s="11" t="s">
        <v>1218</v>
      </c>
      <c r="E927" s="36">
        <v>1</v>
      </c>
      <c r="F927" s="11"/>
      <c r="G927" s="11"/>
      <c r="H927" s="11"/>
      <c r="I927" s="11"/>
      <c r="J927" s="12" t="s">
        <v>13</v>
      </c>
      <c r="K927" s="11"/>
    </row>
    <row r="928" spans="1:11" s="14" customFormat="1" ht="75.599999999999994" customHeight="1" x14ac:dyDescent="0.25">
      <c r="A928" s="36">
        <v>976</v>
      </c>
      <c r="B928" s="49" t="s">
        <v>1299</v>
      </c>
      <c r="C928" s="11"/>
      <c r="D928" s="11" t="s">
        <v>1218</v>
      </c>
      <c r="E928" s="36">
        <v>1.5</v>
      </c>
      <c r="F928" s="11"/>
      <c r="G928" s="11"/>
      <c r="H928" s="11"/>
      <c r="I928" s="11"/>
      <c r="J928" s="12" t="s">
        <v>13</v>
      </c>
      <c r="K928" s="11"/>
    </row>
    <row r="929" spans="1:11" s="14" customFormat="1" ht="75.599999999999994" customHeight="1" x14ac:dyDescent="0.25">
      <c r="A929" s="36">
        <v>977</v>
      </c>
      <c r="B929" s="49" t="s">
        <v>1300</v>
      </c>
      <c r="C929" s="11"/>
      <c r="D929" s="11" t="s">
        <v>1218</v>
      </c>
      <c r="E929" s="36">
        <v>1.5</v>
      </c>
      <c r="F929" s="11"/>
      <c r="G929" s="11"/>
      <c r="H929" s="11"/>
      <c r="I929" s="11"/>
      <c r="J929" s="12" t="s">
        <v>13</v>
      </c>
      <c r="K929" s="11"/>
    </row>
    <row r="930" spans="1:11" s="14" customFormat="1" ht="75.599999999999994" customHeight="1" x14ac:dyDescent="0.25">
      <c r="A930" s="36">
        <v>978</v>
      </c>
      <c r="B930" s="49" t="s">
        <v>1301</v>
      </c>
      <c r="C930" s="11"/>
      <c r="D930" s="11" t="s">
        <v>1218</v>
      </c>
      <c r="E930" s="36">
        <v>1.5</v>
      </c>
      <c r="F930" s="11"/>
      <c r="G930" s="11"/>
      <c r="H930" s="11"/>
      <c r="I930" s="11"/>
      <c r="J930" s="12" t="s">
        <v>13</v>
      </c>
      <c r="K930" s="11"/>
    </row>
    <row r="931" spans="1:11" s="14" customFormat="1" ht="75.599999999999994" customHeight="1" x14ac:dyDescent="0.25">
      <c r="A931" s="36">
        <v>979</v>
      </c>
      <c r="B931" s="49" t="s">
        <v>1302</v>
      </c>
      <c r="C931" s="11"/>
      <c r="D931" s="11" t="s">
        <v>1218</v>
      </c>
      <c r="E931" s="36">
        <v>1.5</v>
      </c>
      <c r="F931" s="11"/>
      <c r="G931" s="11"/>
      <c r="H931" s="11"/>
      <c r="I931" s="11"/>
      <c r="J931" s="12" t="s">
        <v>13</v>
      </c>
      <c r="K931" s="11"/>
    </row>
    <row r="932" spans="1:11" s="14" customFormat="1" ht="75.599999999999994" customHeight="1" x14ac:dyDescent="0.25">
      <c r="A932" s="36">
        <v>980</v>
      </c>
      <c r="B932" s="49" t="s">
        <v>1303</v>
      </c>
      <c r="C932" s="11"/>
      <c r="D932" s="11" t="s">
        <v>1218</v>
      </c>
      <c r="E932" s="36">
        <v>1.5</v>
      </c>
      <c r="F932" s="11"/>
      <c r="G932" s="11"/>
      <c r="H932" s="11"/>
      <c r="I932" s="11"/>
      <c r="J932" s="12" t="s">
        <v>13</v>
      </c>
      <c r="K932" s="11"/>
    </row>
    <row r="933" spans="1:11" s="14" customFormat="1" ht="75.599999999999994" customHeight="1" x14ac:dyDescent="0.25">
      <c r="A933" s="36">
        <v>989</v>
      </c>
      <c r="B933" s="49" t="s">
        <v>1304</v>
      </c>
      <c r="C933" s="11"/>
      <c r="D933" s="11" t="s">
        <v>1218</v>
      </c>
      <c r="E933" s="36">
        <v>2</v>
      </c>
      <c r="F933" s="11"/>
      <c r="G933" s="11"/>
      <c r="H933" s="11"/>
      <c r="I933" s="11"/>
      <c r="J933" s="12" t="s">
        <v>13</v>
      </c>
      <c r="K933" s="11"/>
    </row>
    <row r="934" spans="1:11" s="14" customFormat="1" ht="75.599999999999994" customHeight="1" x14ac:dyDescent="0.25">
      <c r="A934" s="36">
        <v>990</v>
      </c>
      <c r="B934" s="49" t="s">
        <v>1305</v>
      </c>
      <c r="C934" s="11"/>
      <c r="D934" s="11" t="s">
        <v>1218</v>
      </c>
      <c r="E934" s="36">
        <v>3</v>
      </c>
      <c r="F934" s="11"/>
      <c r="G934" s="11"/>
      <c r="H934" s="11"/>
      <c r="I934" s="11"/>
      <c r="J934" s="12" t="s">
        <v>13</v>
      </c>
      <c r="K934" s="11"/>
    </row>
    <row r="935" spans="1:11" s="14" customFormat="1" ht="75.599999999999994" customHeight="1" x14ac:dyDescent="0.25">
      <c r="A935" s="36">
        <v>991</v>
      </c>
      <c r="B935" s="49" t="s">
        <v>1306</v>
      </c>
      <c r="C935" s="11"/>
      <c r="D935" s="11" t="s">
        <v>1218</v>
      </c>
      <c r="E935" s="36">
        <v>1</v>
      </c>
      <c r="F935" s="11"/>
      <c r="G935" s="11"/>
      <c r="H935" s="11"/>
      <c r="I935" s="11"/>
      <c r="J935" s="12" t="s">
        <v>13</v>
      </c>
      <c r="K935" s="11"/>
    </row>
    <row r="936" spans="1:11" s="14" customFormat="1" ht="75.599999999999994" customHeight="1" x14ac:dyDescent="0.25">
      <c r="A936" s="36">
        <v>992</v>
      </c>
      <c r="B936" s="49" t="s">
        <v>1307</v>
      </c>
      <c r="C936" s="11"/>
      <c r="D936" s="11" t="s">
        <v>1218</v>
      </c>
      <c r="E936" s="36">
        <v>1</v>
      </c>
      <c r="F936" s="11"/>
      <c r="G936" s="11"/>
      <c r="H936" s="11"/>
      <c r="I936" s="11"/>
      <c r="J936" s="12" t="s">
        <v>13</v>
      </c>
      <c r="K936" s="11"/>
    </row>
    <row r="937" spans="1:11" s="14" customFormat="1" ht="75.599999999999994" customHeight="1" x14ac:dyDescent="0.25">
      <c r="A937" s="36">
        <v>993</v>
      </c>
      <c r="B937" s="49" t="s">
        <v>1308</v>
      </c>
      <c r="C937" s="11"/>
      <c r="D937" s="11" t="s">
        <v>1218</v>
      </c>
      <c r="E937" s="36">
        <v>1</v>
      </c>
      <c r="F937" s="11"/>
      <c r="G937" s="11"/>
      <c r="H937" s="11"/>
      <c r="I937" s="11"/>
      <c r="J937" s="12" t="s">
        <v>13</v>
      </c>
      <c r="K937" s="11"/>
    </row>
    <row r="938" spans="1:11" s="14" customFormat="1" ht="75.599999999999994" customHeight="1" x14ac:dyDescent="0.25">
      <c r="A938" s="36">
        <v>994</v>
      </c>
      <c r="B938" s="49" t="s">
        <v>1309</v>
      </c>
      <c r="C938" s="11"/>
      <c r="D938" s="11" t="s">
        <v>1218</v>
      </c>
      <c r="E938" s="36">
        <v>1</v>
      </c>
      <c r="F938" s="11"/>
      <c r="G938" s="11"/>
      <c r="H938" s="11"/>
      <c r="I938" s="11"/>
      <c r="J938" s="12" t="s">
        <v>13</v>
      </c>
      <c r="K938" s="11"/>
    </row>
    <row r="939" spans="1:11" s="14" customFormat="1" ht="75.599999999999994" customHeight="1" x14ac:dyDescent="0.25">
      <c r="A939" s="36">
        <v>995</v>
      </c>
      <c r="B939" s="49" t="s">
        <v>1310</v>
      </c>
      <c r="C939" s="11"/>
      <c r="D939" s="11" t="s">
        <v>1218</v>
      </c>
      <c r="E939" s="36">
        <v>4</v>
      </c>
      <c r="F939" s="11"/>
      <c r="G939" s="11"/>
      <c r="H939" s="11"/>
      <c r="I939" s="11"/>
      <c r="J939" s="12" t="s">
        <v>13</v>
      </c>
      <c r="K939" s="11"/>
    </row>
    <row r="940" spans="1:11" s="14" customFormat="1" ht="75.599999999999994" customHeight="1" x14ac:dyDescent="0.25">
      <c r="A940" s="36">
        <v>996</v>
      </c>
      <c r="B940" s="49" t="s">
        <v>1311</v>
      </c>
      <c r="C940" s="11"/>
      <c r="D940" s="11" t="s">
        <v>1218</v>
      </c>
      <c r="E940" s="36">
        <v>2</v>
      </c>
      <c r="F940" s="11"/>
      <c r="G940" s="11"/>
      <c r="H940" s="11"/>
      <c r="I940" s="11"/>
      <c r="J940" s="12" t="s">
        <v>13</v>
      </c>
      <c r="K940" s="11"/>
    </row>
    <row r="941" spans="1:11" s="14" customFormat="1" ht="75.599999999999994" customHeight="1" x14ac:dyDescent="0.25">
      <c r="A941" s="36">
        <v>997</v>
      </c>
      <c r="B941" s="49" t="s">
        <v>1312</v>
      </c>
      <c r="C941" s="11"/>
      <c r="D941" s="11" t="s">
        <v>1218</v>
      </c>
      <c r="E941" s="36">
        <v>4</v>
      </c>
      <c r="F941" s="11"/>
      <c r="G941" s="11"/>
      <c r="H941" s="11"/>
      <c r="I941" s="11"/>
      <c r="J941" s="12" t="s">
        <v>13</v>
      </c>
      <c r="K941" s="11"/>
    </row>
    <row r="942" spans="1:11" s="14" customFormat="1" ht="75.599999999999994" customHeight="1" x14ac:dyDescent="0.25">
      <c r="A942" s="36">
        <v>998</v>
      </c>
      <c r="B942" s="49" t="s">
        <v>1313</v>
      </c>
      <c r="C942" s="11"/>
      <c r="D942" s="11" t="s">
        <v>1218</v>
      </c>
      <c r="E942" s="36">
        <v>2</v>
      </c>
      <c r="F942" s="11"/>
      <c r="G942" s="11"/>
      <c r="H942" s="11"/>
      <c r="I942" s="11"/>
      <c r="J942" s="12" t="s">
        <v>13</v>
      </c>
      <c r="K942" s="11"/>
    </row>
    <row r="943" spans="1:11" s="14" customFormat="1" ht="75.599999999999994" customHeight="1" x14ac:dyDescent="0.25">
      <c r="A943" s="36">
        <v>999</v>
      </c>
      <c r="B943" s="49" t="s">
        <v>1314</v>
      </c>
      <c r="C943" s="11"/>
      <c r="D943" s="11" t="s">
        <v>1218</v>
      </c>
      <c r="E943" s="36">
        <v>2</v>
      </c>
      <c r="F943" s="11"/>
      <c r="G943" s="11"/>
      <c r="H943" s="11"/>
      <c r="I943" s="11"/>
      <c r="J943" s="12" t="s">
        <v>13</v>
      </c>
      <c r="K943" s="11"/>
    </row>
    <row r="944" spans="1:11" s="14" customFormat="1" ht="75.599999999999994" customHeight="1" x14ac:dyDescent="0.25">
      <c r="A944" s="36">
        <v>1004</v>
      </c>
      <c r="B944" s="49" t="s">
        <v>1315</v>
      </c>
      <c r="C944" s="11"/>
      <c r="D944" s="11" t="s">
        <v>1218</v>
      </c>
      <c r="E944" s="36">
        <v>3</v>
      </c>
      <c r="F944" s="11">
        <v>3</v>
      </c>
      <c r="G944" s="11" t="s">
        <v>92</v>
      </c>
      <c r="H944" s="22">
        <v>46010</v>
      </c>
      <c r="I944" s="22">
        <v>46064</v>
      </c>
      <c r="J944" s="12" t="s">
        <v>22</v>
      </c>
      <c r="K944" s="11"/>
    </row>
    <row r="945" spans="1:11" s="14" customFormat="1" ht="75.599999999999994" customHeight="1" x14ac:dyDescent="0.25">
      <c r="A945" s="36">
        <v>1005</v>
      </c>
      <c r="B945" s="49" t="s">
        <v>1316</v>
      </c>
      <c r="C945" s="11"/>
      <c r="D945" s="11" t="s">
        <v>1218</v>
      </c>
      <c r="E945" s="36">
        <v>3</v>
      </c>
      <c r="F945" s="11">
        <v>3</v>
      </c>
      <c r="G945" s="11" t="s">
        <v>92</v>
      </c>
      <c r="H945" s="22">
        <v>46013</v>
      </c>
      <c r="I945" s="22">
        <v>46064</v>
      </c>
      <c r="J945" s="12" t="s">
        <v>22</v>
      </c>
      <c r="K945" s="11"/>
    </row>
    <row r="946" spans="1:11" s="14" customFormat="1" ht="75.599999999999994" customHeight="1" x14ac:dyDescent="0.25">
      <c r="A946" s="36">
        <v>1006</v>
      </c>
      <c r="B946" s="49" t="s">
        <v>1317</v>
      </c>
      <c r="C946" s="11"/>
      <c r="D946" s="11" t="s">
        <v>1218</v>
      </c>
      <c r="E946" s="36">
        <v>3</v>
      </c>
      <c r="F946" s="11"/>
      <c r="G946" s="11"/>
      <c r="H946" s="11"/>
      <c r="I946" s="11"/>
      <c r="J946" s="12" t="s">
        <v>13</v>
      </c>
      <c r="K946" s="11"/>
    </row>
    <row r="947" spans="1:11" s="14" customFormat="1" ht="75.599999999999994" customHeight="1" x14ac:dyDescent="0.25">
      <c r="A947" s="36">
        <v>1007</v>
      </c>
      <c r="B947" s="49" t="s">
        <v>1318</v>
      </c>
      <c r="C947" s="11"/>
      <c r="D947" s="11" t="s">
        <v>1218</v>
      </c>
      <c r="E947" s="36">
        <v>8</v>
      </c>
      <c r="F947" s="11">
        <v>8</v>
      </c>
      <c r="G947" s="11" t="s">
        <v>92</v>
      </c>
      <c r="H947" s="22">
        <v>46027</v>
      </c>
      <c r="I947" s="22">
        <v>46064</v>
      </c>
      <c r="J947" s="12" t="s">
        <v>22</v>
      </c>
      <c r="K947" s="11"/>
    </row>
    <row r="948" spans="1:11" s="14" customFormat="1" ht="75.599999999999994" customHeight="1" x14ac:dyDescent="0.25">
      <c r="A948" s="36">
        <v>1008</v>
      </c>
      <c r="B948" s="49" t="s">
        <v>1319</v>
      </c>
      <c r="C948" s="11"/>
      <c r="D948" s="11" t="s">
        <v>1218</v>
      </c>
      <c r="E948" s="36">
        <v>4</v>
      </c>
      <c r="F948" s="11">
        <v>4</v>
      </c>
      <c r="G948" s="22" t="s">
        <v>92</v>
      </c>
      <c r="H948" s="22">
        <v>46011</v>
      </c>
      <c r="I948" s="22">
        <v>46064</v>
      </c>
      <c r="J948" s="12" t="s">
        <v>22</v>
      </c>
      <c r="K948" s="11"/>
    </row>
    <row r="949" spans="1:11" s="14" customFormat="1" ht="75.599999999999994" customHeight="1" x14ac:dyDescent="0.25">
      <c r="A949" s="36">
        <v>1009</v>
      </c>
      <c r="B949" s="49" t="s">
        <v>1320</v>
      </c>
      <c r="C949" s="11"/>
      <c r="D949" s="11" t="s">
        <v>1218</v>
      </c>
      <c r="E949" s="36">
        <v>4</v>
      </c>
      <c r="F949" s="11">
        <v>4</v>
      </c>
      <c r="G949" s="11" t="s">
        <v>92</v>
      </c>
      <c r="H949" s="22">
        <v>46013</v>
      </c>
      <c r="I949" s="22">
        <v>46064</v>
      </c>
      <c r="J949" s="12" t="s">
        <v>22</v>
      </c>
      <c r="K949" s="11"/>
    </row>
    <row r="950" spans="1:11" s="14" customFormat="1" ht="75.599999999999994" customHeight="1" x14ac:dyDescent="0.25">
      <c r="A950" s="36">
        <v>1010</v>
      </c>
      <c r="B950" s="49" t="s">
        <v>1321</v>
      </c>
      <c r="C950" s="11"/>
      <c r="D950" s="11" t="s">
        <v>1218</v>
      </c>
      <c r="E950" s="36">
        <v>4</v>
      </c>
      <c r="F950" s="11">
        <v>4</v>
      </c>
      <c r="G950" s="11" t="s">
        <v>92</v>
      </c>
      <c r="H950" s="22">
        <v>46013</v>
      </c>
      <c r="I950" s="22">
        <v>46064</v>
      </c>
      <c r="J950" s="12" t="s">
        <v>22</v>
      </c>
      <c r="K950" s="11"/>
    </row>
    <row r="951" spans="1:11" s="14" customFormat="1" ht="75.599999999999994" customHeight="1" x14ac:dyDescent="0.25">
      <c r="A951" s="36">
        <v>1011</v>
      </c>
      <c r="B951" s="49" t="s">
        <v>1322</v>
      </c>
      <c r="C951" s="11"/>
      <c r="D951" s="11" t="s">
        <v>1218</v>
      </c>
      <c r="E951" s="36">
        <v>0.1</v>
      </c>
      <c r="F951" s="11">
        <v>0.1</v>
      </c>
      <c r="G951" s="11" t="s">
        <v>92</v>
      </c>
      <c r="H951" s="22">
        <v>46020</v>
      </c>
      <c r="I951" s="22">
        <v>46064</v>
      </c>
      <c r="J951" s="12" t="s">
        <v>22</v>
      </c>
      <c r="K951" s="11"/>
    </row>
    <row r="952" spans="1:11" s="14" customFormat="1" ht="75.599999999999994" customHeight="1" x14ac:dyDescent="0.25">
      <c r="A952" s="36">
        <v>1012</v>
      </c>
      <c r="B952" s="49" t="s">
        <v>1323</v>
      </c>
      <c r="C952" s="11"/>
      <c r="D952" s="11" t="s">
        <v>1218</v>
      </c>
      <c r="E952" s="36">
        <v>1</v>
      </c>
      <c r="F952" s="11">
        <v>1</v>
      </c>
      <c r="G952" s="11" t="s">
        <v>92</v>
      </c>
      <c r="H952" s="22">
        <v>46020</v>
      </c>
      <c r="I952" s="22">
        <v>46064</v>
      </c>
      <c r="J952" s="12" t="s">
        <v>22</v>
      </c>
      <c r="K952" s="11"/>
    </row>
    <row r="953" spans="1:11" s="14" customFormat="1" ht="75.599999999999994" customHeight="1" x14ac:dyDescent="0.25">
      <c r="A953" s="36">
        <v>1021</v>
      </c>
      <c r="B953" s="49" t="s">
        <v>1324</v>
      </c>
      <c r="C953" s="11"/>
      <c r="D953" s="11" t="s">
        <v>1218</v>
      </c>
      <c r="E953" s="36">
        <v>2</v>
      </c>
      <c r="F953" s="11">
        <v>2</v>
      </c>
      <c r="G953" s="11" t="s">
        <v>21</v>
      </c>
      <c r="H953" s="22">
        <v>46030</v>
      </c>
      <c r="I953" s="22">
        <v>46030</v>
      </c>
      <c r="J953" s="12" t="s">
        <v>22</v>
      </c>
      <c r="K953" s="11"/>
    </row>
    <row r="954" spans="1:11" s="14" customFormat="1" ht="75.599999999999994" customHeight="1" x14ac:dyDescent="0.25">
      <c r="A954" s="36">
        <v>1022</v>
      </c>
      <c r="B954" s="49" t="s">
        <v>1325</v>
      </c>
      <c r="C954" s="11"/>
      <c r="D954" s="11" t="s">
        <v>1218</v>
      </c>
      <c r="E954" s="36"/>
      <c r="F954" s="11"/>
      <c r="G954" s="11"/>
      <c r="H954" s="11"/>
      <c r="I954" s="11"/>
      <c r="J954" s="12" t="s">
        <v>13</v>
      </c>
      <c r="K954" s="11"/>
    </row>
    <row r="955" spans="1:11" s="14" customFormat="1" ht="75.599999999999994" customHeight="1" x14ac:dyDescent="0.25">
      <c r="A955" s="36">
        <v>1023</v>
      </c>
      <c r="B955" s="49" t="s">
        <v>1326</v>
      </c>
      <c r="C955" s="11"/>
      <c r="D955" s="11" t="s">
        <v>1218</v>
      </c>
      <c r="E955" s="36">
        <v>1</v>
      </c>
      <c r="F955" s="11">
        <v>1</v>
      </c>
      <c r="G955" s="11" t="s">
        <v>92</v>
      </c>
      <c r="H955" s="22">
        <v>46028</v>
      </c>
      <c r="I955" s="22">
        <v>46064</v>
      </c>
      <c r="J955" s="12" t="s">
        <v>22</v>
      </c>
      <c r="K955" s="11"/>
    </row>
    <row r="956" spans="1:11" s="14" customFormat="1" ht="75.599999999999994" customHeight="1" x14ac:dyDescent="0.25">
      <c r="A956" s="36">
        <v>1024</v>
      </c>
      <c r="B956" s="49" t="s">
        <v>1327</v>
      </c>
      <c r="C956" s="11"/>
      <c r="D956" s="11" t="s">
        <v>1218</v>
      </c>
      <c r="E956" s="36">
        <v>1</v>
      </c>
      <c r="F956" s="11"/>
      <c r="G956" s="11"/>
      <c r="H956" s="11"/>
      <c r="I956" s="11"/>
      <c r="J956" s="12" t="s">
        <v>13</v>
      </c>
      <c r="K956" s="11"/>
    </row>
    <row r="957" spans="1:11" s="14" customFormat="1" ht="75.599999999999994" customHeight="1" x14ac:dyDescent="0.25">
      <c r="A957" s="36">
        <v>1025</v>
      </c>
      <c r="B957" s="49" t="s">
        <v>1328</v>
      </c>
      <c r="C957" s="11"/>
      <c r="D957" s="11" t="s">
        <v>1218</v>
      </c>
      <c r="E957" s="36">
        <v>1</v>
      </c>
      <c r="F957" s="11">
        <v>1</v>
      </c>
      <c r="G957" s="11" t="s">
        <v>92</v>
      </c>
      <c r="H957" s="22">
        <v>46028</v>
      </c>
      <c r="I957" s="22">
        <v>46064</v>
      </c>
      <c r="J957" s="12" t="s">
        <v>22</v>
      </c>
      <c r="K957" s="11"/>
    </row>
    <row r="958" spans="1:11" s="14" customFormat="1" ht="75.599999999999994" customHeight="1" x14ac:dyDescent="0.25">
      <c r="A958" s="36">
        <v>1026</v>
      </c>
      <c r="B958" s="49" t="s">
        <v>1329</v>
      </c>
      <c r="C958" s="11"/>
      <c r="D958" s="11" t="s">
        <v>1218</v>
      </c>
      <c r="E958" s="36">
        <v>1</v>
      </c>
      <c r="F958" s="11"/>
      <c r="G958" s="11"/>
      <c r="H958" s="11"/>
      <c r="I958" s="11"/>
      <c r="J958" s="12" t="s">
        <v>13</v>
      </c>
      <c r="K958" s="11"/>
    </row>
    <row r="959" spans="1:11" s="14" customFormat="1" ht="75.599999999999994" customHeight="1" x14ac:dyDescent="0.25">
      <c r="A959" s="36">
        <v>1027</v>
      </c>
      <c r="B959" s="49" t="s">
        <v>1330</v>
      </c>
      <c r="C959" s="11"/>
      <c r="D959" s="11" t="s">
        <v>1218</v>
      </c>
      <c r="E959" s="36">
        <v>1</v>
      </c>
      <c r="F959" s="11">
        <v>1</v>
      </c>
      <c r="G959" s="11" t="s">
        <v>32</v>
      </c>
      <c r="H959" s="22">
        <v>46028</v>
      </c>
      <c r="I959" s="22">
        <v>45699</v>
      </c>
      <c r="J959" s="12" t="s">
        <v>22</v>
      </c>
      <c r="K959" s="11"/>
    </row>
    <row r="960" spans="1:11" s="14" customFormat="1" ht="75.599999999999994" customHeight="1" x14ac:dyDescent="0.25">
      <c r="A960" s="36">
        <v>1028</v>
      </c>
      <c r="B960" s="49" t="s">
        <v>1331</v>
      </c>
      <c r="C960" s="11"/>
      <c r="D960" s="11" t="s">
        <v>1218</v>
      </c>
      <c r="E960" s="36"/>
      <c r="F960" s="11"/>
      <c r="G960" s="11"/>
      <c r="H960" s="11"/>
      <c r="I960" s="11"/>
      <c r="J960" s="12" t="s">
        <v>13</v>
      </c>
      <c r="K960" s="11"/>
    </row>
    <row r="961" spans="1:11" s="14" customFormat="1" ht="75.599999999999994" customHeight="1" x14ac:dyDescent="0.25">
      <c r="A961" s="36">
        <v>1029</v>
      </c>
      <c r="B961" s="49" t="s">
        <v>1332</v>
      </c>
      <c r="C961" s="11"/>
      <c r="D961" s="11" t="s">
        <v>1218</v>
      </c>
      <c r="E961" s="36">
        <v>2</v>
      </c>
      <c r="F961" s="11">
        <v>2</v>
      </c>
      <c r="G961" s="11" t="s">
        <v>92</v>
      </c>
      <c r="H961" s="22">
        <v>46028</v>
      </c>
      <c r="I961" s="22">
        <v>46064</v>
      </c>
      <c r="J961" s="12" t="s">
        <v>22</v>
      </c>
      <c r="K961" s="11"/>
    </row>
    <row r="962" spans="1:11" s="14" customFormat="1" ht="75.599999999999994" customHeight="1" x14ac:dyDescent="0.25">
      <c r="A962" s="36">
        <v>1030</v>
      </c>
      <c r="B962" s="49" t="s">
        <v>1333</v>
      </c>
      <c r="C962" s="11"/>
      <c r="D962" s="11" t="s">
        <v>1218</v>
      </c>
      <c r="E962" s="36">
        <v>1</v>
      </c>
      <c r="F962" s="11"/>
      <c r="G962" s="11"/>
      <c r="H962" s="11"/>
      <c r="I962" s="11"/>
      <c r="J962" s="12" t="s">
        <v>13</v>
      </c>
      <c r="K962" s="11"/>
    </row>
    <row r="963" spans="1:11" s="14" customFormat="1" ht="75.599999999999994" customHeight="1" x14ac:dyDescent="0.25">
      <c r="A963" s="36">
        <v>1051</v>
      </c>
      <c r="B963" s="49" t="s">
        <v>1334</v>
      </c>
      <c r="C963" s="11"/>
      <c r="D963" s="11" t="s">
        <v>1218</v>
      </c>
      <c r="E963" s="36">
        <v>1</v>
      </c>
      <c r="F963" s="11"/>
      <c r="G963" s="11"/>
      <c r="H963" s="11"/>
      <c r="I963" s="11"/>
      <c r="J963" s="12" t="s">
        <v>13</v>
      </c>
      <c r="K963" s="11"/>
    </row>
    <row r="964" spans="1:11" s="14" customFormat="1" ht="75.599999999999994" customHeight="1" x14ac:dyDescent="0.25">
      <c r="A964" s="36">
        <v>1052</v>
      </c>
      <c r="B964" s="49" t="s">
        <v>1335</v>
      </c>
      <c r="C964" s="11"/>
      <c r="D964" s="11" t="s">
        <v>1218</v>
      </c>
      <c r="E964" s="36">
        <v>2</v>
      </c>
      <c r="F964" s="11"/>
      <c r="G964" s="11"/>
      <c r="H964" s="11"/>
      <c r="I964" s="11"/>
      <c r="J964" s="12" t="s">
        <v>13</v>
      </c>
      <c r="K964" s="11"/>
    </row>
    <row r="965" spans="1:11" s="14" customFormat="1" ht="75.599999999999994" customHeight="1" x14ac:dyDescent="0.25">
      <c r="A965" s="36">
        <v>1068</v>
      </c>
      <c r="B965" s="49" t="s">
        <v>1336</v>
      </c>
      <c r="C965" s="11"/>
      <c r="D965" s="11" t="s">
        <v>1218</v>
      </c>
      <c r="E965" s="36">
        <v>1</v>
      </c>
      <c r="F965" s="11"/>
      <c r="G965" s="11"/>
      <c r="H965" s="11"/>
      <c r="I965" s="11"/>
      <c r="J965" s="12" t="s">
        <v>13</v>
      </c>
      <c r="K965" s="11"/>
    </row>
    <row r="966" spans="1:11" s="14" customFormat="1" ht="75.599999999999994" customHeight="1" x14ac:dyDescent="0.25">
      <c r="A966" s="36">
        <v>1069</v>
      </c>
      <c r="B966" s="49" t="s">
        <v>1337</v>
      </c>
      <c r="C966" s="11"/>
      <c r="D966" s="11" t="s">
        <v>1218</v>
      </c>
      <c r="E966" s="36">
        <v>1</v>
      </c>
      <c r="F966" s="11"/>
      <c r="G966" s="11"/>
      <c r="H966" s="11"/>
      <c r="I966" s="11"/>
      <c r="J966" s="12" t="s">
        <v>13</v>
      </c>
      <c r="K966" s="11"/>
    </row>
    <row r="967" spans="1:11" s="14" customFormat="1" ht="75.599999999999994" customHeight="1" x14ac:dyDescent="0.25">
      <c r="A967" s="36">
        <v>1070</v>
      </c>
      <c r="B967" s="49" t="s">
        <v>1338</v>
      </c>
      <c r="C967" s="11"/>
      <c r="D967" s="11" t="s">
        <v>1218</v>
      </c>
      <c r="E967" s="36">
        <v>1</v>
      </c>
      <c r="F967" s="11"/>
      <c r="G967" s="11"/>
      <c r="H967" s="11"/>
      <c r="I967" s="11"/>
      <c r="J967" s="12" t="s">
        <v>13</v>
      </c>
      <c r="K967" s="11"/>
    </row>
    <row r="968" spans="1:11" s="14" customFormat="1" ht="75.599999999999994" customHeight="1" x14ac:dyDescent="0.25">
      <c r="A968" s="36">
        <v>1071</v>
      </c>
      <c r="B968" s="49" t="s">
        <v>1339</v>
      </c>
      <c r="C968" s="11"/>
      <c r="D968" s="11" t="s">
        <v>1218</v>
      </c>
      <c r="E968" s="36">
        <v>1</v>
      </c>
      <c r="F968" s="11"/>
      <c r="G968" s="11"/>
      <c r="H968" s="11"/>
      <c r="I968" s="11"/>
      <c r="J968" s="12" t="s">
        <v>13</v>
      </c>
      <c r="K968" s="11"/>
    </row>
    <row r="969" spans="1:11" s="14" customFormat="1" ht="75.599999999999994" customHeight="1" x14ac:dyDescent="0.25">
      <c r="A969" s="36">
        <v>1072</v>
      </c>
      <c r="B969" s="49" t="s">
        <v>1340</v>
      </c>
      <c r="C969" s="11"/>
      <c r="D969" s="11" t="s">
        <v>1218</v>
      </c>
      <c r="E969" s="36">
        <v>1</v>
      </c>
      <c r="F969" s="11"/>
      <c r="G969" s="11"/>
      <c r="H969" s="11"/>
      <c r="I969" s="11"/>
      <c r="J969" s="12" t="s">
        <v>13</v>
      </c>
      <c r="K969" s="11"/>
    </row>
    <row r="970" spans="1:11" s="14" customFormat="1" ht="75.599999999999994" customHeight="1" x14ac:dyDescent="0.25">
      <c r="A970" s="36">
        <v>1075</v>
      </c>
      <c r="B970" s="49" t="s">
        <v>1341</v>
      </c>
      <c r="C970" s="11"/>
      <c r="D970" s="11" t="s">
        <v>1218</v>
      </c>
      <c r="E970" s="36">
        <v>1</v>
      </c>
      <c r="F970" s="11"/>
      <c r="G970" s="11"/>
      <c r="H970" s="11"/>
      <c r="I970" s="11"/>
      <c r="J970" s="12" t="s">
        <v>13</v>
      </c>
      <c r="K970" s="11"/>
    </row>
    <row r="971" spans="1:11" s="14" customFormat="1" ht="75.599999999999994" customHeight="1" x14ac:dyDescent="0.25">
      <c r="A971" s="36">
        <v>1076</v>
      </c>
      <c r="B971" s="49" t="s">
        <v>1342</v>
      </c>
      <c r="C971" s="11"/>
      <c r="D971" s="11" t="s">
        <v>1218</v>
      </c>
      <c r="E971" s="36">
        <v>1</v>
      </c>
      <c r="F971" s="11"/>
      <c r="G971" s="11"/>
      <c r="H971" s="11"/>
      <c r="I971" s="11"/>
      <c r="J971" s="12" t="s">
        <v>13</v>
      </c>
      <c r="K971" s="11"/>
    </row>
    <row r="972" spans="1:11" s="14" customFormat="1" ht="75.599999999999994" customHeight="1" x14ac:dyDescent="0.25">
      <c r="A972" s="36">
        <v>1077</v>
      </c>
      <c r="B972" s="49" t="s">
        <v>1343</v>
      </c>
      <c r="C972" s="11"/>
      <c r="D972" s="11" t="s">
        <v>1218</v>
      </c>
      <c r="E972" s="36">
        <v>1</v>
      </c>
      <c r="F972" s="11"/>
      <c r="G972" s="11"/>
      <c r="H972" s="11"/>
      <c r="I972" s="11"/>
      <c r="J972" s="12" t="s">
        <v>13</v>
      </c>
      <c r="K972" s="11"/>
    </row>
    <row r="973" spans="1:11" s="14" customFormat="1" ht="75.599999999999994" customHeight="1" x14ac:dyDescent="0.25">
      <c r="A973" s="36">
        <v>1079</v>
      </c>
      <c r="B973" s="49" t="s">
        <v>1344</v>
      </c>
      <c r="C973" s="11"/>
      <c r="D973" s="11" t="s">
        <v>1218</v>
      </c>
      <c r="E973" s="36">
        <v>1</v>
      </c>
      <c r="F973" s="11"/>
      <c r="G973" s="11"/>
      <c r="H973" s="11"/>
      <c r="I973" s="11"/>
      <c r="J973" s="12" t="s">
        <v>13</v>
      </c>
      <c r="K973" s="11"/>
    </row>
    <row r="974" spans="1:11" s="14" customFormat="1" ht="75.599999999999994" customHeight="1" x14ac:dyDescent="0.25">
      <c r="A974" s="36">
        <v>1080</v>
      </c>
      <c r="B974" s="49" t="s">
        <v>1345</v>
      </c>
      <c r="C974" s="11"/>
      <c r="D974" s="11" t="s">
        <v>1218</v>
      </c>
      <c r="E974" s="36">
        <v>3</v>
      </c>
      <c r="F974" s="11"/>
      <c r="G974" s="11"/>
      <c r="H974" s="11"/>
      <c r="I974" s="11"/>
      <c r="J974" s="12" t="s">
        <v>13</v>
      </c>
      <c r="K974" s="11"/>
    </row>
    <row r="975" spans="1:11" s="14" customFormat="1" ht="75.599999999999994" customHeight="1" x14ac:dyDescent="0.25">
      <c r="A975" s="36">
        <v>1081</v>
      </c>
      <c r="B975" s="49" t="s">
        <v>1346</v>
      </c>
      <c r="C975" s="11"/>
      <c r="D975" s="11" t="s">
        <v>1218</v>
      </c>
      <c r="E975" s="36">
        <v>4</v>
      </c>
      <c r="F975" s="11"/>
      <c r="G975" s="11"/>
      <c r="H975" s="11"/>
      <c r="I975" s="11"/>
      <c r="J975" s="12" t="s">
        <v>13</v>
      </c>
      <c r="K975" s="11"/>
    </row>
    <row r="976" spans="1:11" s="14" customFormat="1" ht="75.599999999999994" customHeight="1" x14ac:dyDescent="0.25">
      <c r="A976" s="36">
        <v>1083</v>
      </c>
      <c r="B976" s="49" t="s">
        <v>1347</v>
      </c>
      <c r="C976" s="11"/>
      <c r="D976" s="11" t="s">
        <v>1218</v>
      </c>
      <c r="E976" s="36">
        <v>12</v>
      </c>
      <c r="F976" s="11"/>
      <c r="G976" s="11"/>
      <c r="H976" s="11"/>
      <c r="I976" s="11"/>
      <c r="J976" s="12" t="s">
        <v>13</v>
      </c>
      <c r="K976" s="11"/>
    </row>
    <row r="977" spans="1:11" s="14" customFormat="1" ht="75.599999999999994" customHeight="1" x14ac:dyDescent="0.25">
      <c r="A977" s="36">
        <v>1084</v>
      </c>
      <c r="B977" s="49" t="s">
        <v>1348</v>
      </c>
      <c r="C977" s="11"/>
      <c r="D977" s="11" t="s">
        <v>1218</v>
      </c>
      <c r="E977" s="36">
        <v>12</v>
      </c>
      <c r="F977" s="11"/>
      <c r="G977" s="11"/>
      <c r="H977" s="11"/>
      <c r="I977" s="11"/>
      <c r="J977" s="12" t="s">
        <v>13</v>
      </c>
      <c r="K977" s="11"/>
    </row>
    <row r="978" spans="1:11" s="14" customFormat="1" ht="75.599999999999994" customHeight="1" x14ac:dyDescent="0.25">
      <c r="A978" s="36">
        <v>1097</v>
      </c>
      <c r="B978" s="49" t="s">
        <v>1349</v>
      </c>
      <c r="C978" s="11"/>
      <c r="D978" s="11" t="s">
        <v>1218</v>
      </c>
      <c r="E978" s="36">
        <v>10</v>
      </c>
      <c r="F978" s="11"/>
      <c r="G978" s="11"/>
      <c r="H978" s="11"/>
      <c r="I978" s="11"/>
      <c r="J978" s="12" t="s">
        <v>13</v>
      </c>
      <c r="K978" s="11"/>
    </row>
    <row r="979" spans="1:11" s="14" customFormat="1" ht="75.599999999999994" customHeight="1" x14ac:dyDescent="0.25">
      <c r="A979" s="36">
        <v>1103</v>
      </c>
      <c r="B979" s="49" t="s">
        <v>1350</v>
      </c>
      <c r="C979" s="11"/>
      <c r="D979" s="11" t="s">
        <v>1218</v>
      </c>
      <c r="E979" s="36">
        <v>25</v>
      </c>
      <c r="F979" s="11"/>
      <c r="G979" s="11"/>
      <c r="H979" s="11"/>
      <c r="I979" s="11"/>
      <c r="J979" s="12" t="s">
        <v>13</v>
      </c>
      <c r="K979" s="11"/>
    </row>
    <row r="980" spans="1:11" s="14" customFormat="1" ht="75.599999999999994" customHeight="1" x14ac:dyDescent="0.25">
      <c r="A980" s="36">
        <v>1104</v>
      </c>
      <c r="B980" s="49" t="s">
        <v>1351</v>
      </c>
      <c r="C980" s="11"/>
      <c r="D980" s="11" t="s">
        <v>1218</v>
      </c>
      <c r="E980" s="36">
        <v>25</v>
      </c>
      <c r="F980" s="11"/>
      <c r="G980" s="11"/>
      <c r="H980" s="11"/>
      <c r="I980" s="11"/>
      <c r="J980" s="12" t="s">
        <v>13</v>
      </c>
      <c r="K980" s="11"/>
    </row>
    <row r="981" spans="1:11" s="14" customFormat="1" ht="75.599999999999994" customHeight="1" x14ac:dyDescent="0.25">
      <c r="A981" s="36">
        <v>1105</v>
      </c>
      <c r="B981" s="49" t="s">
        <v>1352</v>
      </c>
      <c r="C981" s="11"/>
      <c r="D981" s="11" t="s">
        <v>1218</v>
      </c>
      <c r="E981" s="36">
        <v>25</v>
      </c>
      <c r="F981" s="11"/>
      <c r="G981" s="11"/>
      <c r="H981" s="11"/>
      <c r="I981" s="11"/>
      <c r="J981" s="12" t="s">
        <v>13</v>
      </c>
      <c r="K981" s="11"/>
    </row>
    <row r="982" spans="1:11" s="14" customFormat="1" ht="75.599999999999994" customHeight="1" x14ac:dyDescent="0.25">
      <c r="A982" s="36">
        <v>1106</v>
      </c>
      <c r="B982" s="49" t="s">
        <v>1353</v>
      </c>
      <c r="C982" s="11"/>
      <c r="D982" s="11" t="s">
        <v>1218</v>
      </c>
      <c r="E982" s="36">
        <v>5</v>
      </c>
      <c r="F982" s="11"/>
      <c r="G982" s="11"/>
      <c r="H982" s="11"/>
      <c r="I982" s="11"/>
      <c r="J982" s="12" t="s">
        <v>13</v>
      </c>
      <c r="K982" s="11"/>
    </row>
    <row r="983" spans="1:11" s="14" customFormat="1" ht="75.599999999999994" customHeight="1" x14ac:dyDescent="0.25">
      <c r="A983" s="36">
        <v>1107</v>
      </c>
      <c r="B983" s="49" t="s">
        <v>1354</v>
      </c>
      <c r="C983" s="11"/>
      <c r="D983" s="11" t="s">
        <v>1218</v>
      </c>
      <c r="E983" s="36">
        <v>5</v>
      </c>
      <c r="F983" s="11"/>
      <c r="G983" s="11"/>
      <c r="H983" s="11"/>
      <c r="I983" s="11"/>
      <c r="J983" s="12" t="s">
        <v>13</v>
      </c>
      <c r="K983" s="11"/>
    </row>
    <row r="984" spans="1:11" s="14" customFormat="1" ht="75.599999999999994" customHeight="1" x14ac:dyDescent="0.25">
      <c r="A984" s="36">
        <v>1108</v>
      </c>
      <c r="B984" s="49" t="s">
        <v>1355</v>
      </c>
      <c r="C984" s="11"/>
      <c r="D984" s="11" t="s">
        <v>1218</v>
      </c>
      <c r="E984" s="36">
        <v>2</v>
      </c>
      <c r="F984" s="11"/>
      <c r="G984" s="11"/>
      <c r="H984" s="11"/>
      <c r="I984" s="11"/>
      <c r="J984" s="12" t="s">
        <v>13</v>
      </c>
      <c r="K984" s="11"/>
    </row>
    <row r="985" spans="1:11" s="14" customFormat="1" ht="75.599999999999994" customHeight="1" x14ac:dyDescent="0.25">
      <c r="A985" s="36">
        <v>1126</v>
      </c>
      <c r="B985" s="49" t="s">
        <v>1356</v>
      </c>
      <c r="C985" s="11"/>
      <c r="D985" s="11" t="s">
        <v>1218</v>
      </c>
      <c r="E985" s="36">
        <v>15</v>
      </c>
      <c r="F985" s="11"/>
      <c r="G985" s="11"/>
      <c r="H985" s="11"/>
      <c r="I985" s="11"/>
      <c r="J985" s="12" t="s">
        <v>13</v>
      </c>
      <c r="K985" s="11"/>
    </row>
    <row r="986" spans="1:11" s="14" customFormat="1" ht="75.599999999999994" customHeight="1" x14ac:dyDescent="0.25">
      <c r="A986" s="36">
        <v>1127</v>
      </c>
      <c r="B986" s="49" t="s">
        <v>1357</v>
      </c>
      <c r="C986" s="11"/>
      <c r="D986" s="11" t="s">
        <v>1218</v>
      </c>
      <c r="E986" s="36">
        <v>15</v>
      </c>
      <c r="F986" s="11"/>
      <c r="G986" s="11"/>
      <c r="H986" s="11"/>
      <c r="I986" s="11"/>
      <c r="J986" s="12" t="s">
        <v>13</v>
      </c>
      <c r="K986" s="11"/>
    </row>
    <row r="987" spans="1:11" s="14" customFormat="1" ht="75.599999999999994" customHeight="1" x14ac:dyDescent="0.25">
      <c r="A987" s="36">
        <v>1158</v>
      </c>
      <c r="B987" s="49" t="s">
        <v>1358</v>
      </c>
      <c r="C987" s="11"/>
      <c r="D987" s="11" t="s">
        <v>1218</v>
      </c>
      <c r="E987" s="36">
        <v>2</v>
      </c>
      <c r="F987" s="11">
        <v>2</v>
      </c>
      <c r="G987" s="11" t="s">
        <v>1359</v>
      </c>
      <c r="H987" s="22">
        <v>46070</v>
      </c>
      <c r="I987" s="22">
        <v>46073</v>
      </c>
      <c r="J987" s="12" t="s">
        <v>22</v>
      </c>
      <c r="K987" s="11"/>
    </row>
    <row r="988" spans="1:11" s="14" customFormat="1" ht="75.599999999999994" customHeight="1" x14ac:dyDescent="0.25">
      <c r="A988" s="36">
        <v>1159</v>
      </c>
      <c r="B988" s="49" t="s">
        <v>1360</v>
      </c>
      <c r="C988" s="11"/>
      <c r="D988" s="11" t="s">
        <v>1218</v>
      </c>
      <c r="E988" s="36">
        <v>2</v>
      </c>
      <c r="F988" s="11">
        <v>2</v>
      </c>
      <c r="G988" s="11" t="s">
        <v>231</v>
      </c>
      <c r="H988" s="22">
        <v>46070</v>
      </c>
      <c r="I988" s="22">
        <v>46073</v>
      </c>
      <c r="J988" s="12" t="s">
        <v>22</v>
      </c>
      <c r="K988" s="11"/>
    </row>
    <row r="989" spans="1:11" s="14" customFormat="1" ht="75.599999999999994" customHeight="1" x14ac:dyDescent="0.25">
      <c r="A989" s="36">
        <v>1160</v>
      </c>
      <c r="B989" s="49" t="s">
        <v>1361</v>
      </c>
      <c r="C989" s="11"/>
      <c r="D989" s="11" t="s">
        <v>1218</v>
      </c>
      <c r="E989" s="36">
        <v>2</v>
      </c>
      <c r="F989" s="11"/>
      <c r="G989" s="11"/>
      <c r="H989" s="11"/>
      <c r="I989" s="11"/>
      <c r="J989" s="12" t="s">
        <v>13</v>
      </c>
      <c r="K989" s="11"/>
    </row>
    <row r="990" spans="1:11" s="14" customFormat="1" ht="75.599999999999994" customHeight="1" x14ac:dyDescent="0.25">
      <c r="A990" s="36">
        <v>1161</v>
      </c>
      <c r="B990" s="49" t="s">
        <v>1362</v>
      </c>
      <c r="C990" s="11"/>
      <c r="D990" s="11" t="s">
        <v>1218</v>
      </c>
      <c r="E990" s="36">
        <v>2</v>
      </c>
      <c r="F990" s="11"/>
      <c r="G990" s="11"/>
      <c r="H990" s="11"/>
      <c r="I990" s="11"/>
      <c r="J990" s="12" t="s">
        <v>13</v>
      </c>
      <c r="K990" s="11"/>
    </row>
    <row r="991" spans="1:11" s="14" customFormat="1" ht="75.599999999999994" customHeight="1" x14ac:dyDescent="0.25">
      <c r="A991" s="36">
        <v>1162</v>
      </c>
      <c r="B991" s="49" t="s">
        <v>1363</v>
      </c>
      <c r="C991" s="11"/>
      <c r="D991" s="11" t="s">
        <v>1218</v>
      </c>
      <c r="E991" s="36">
        <v>2</v>
      </c>
      <c r="F991" s="11"/>
      <c r="G991" s="11"/>
      <c r="H991" s="11"/>
      <c r="I991" s="11"/>
      <c r="J991" s="12" t="s">
        <v>13</v>
      </c>
      <c r="K991" s="11"/>
    </row>
    <row r="992" spans="1:11" s="14" customFormat="1" ht="75.599999999999994" customHeight="1" x14ac:dyDescent="0.25">
      <c r="A992" s="36">
        <v>1164</v>
      </c>
      <c r="B992" s="49" t="s">
        <v>1364</v>
      </c>
      <c r="C992" s="11"/>
      <c r="D992" s="11" t="s">
        <v>1218</v>
      </c>
      <c r="E992" s="36">
        <v>1</v>
      </c>
      <c r="F992" s="11"/>
      <c r="G992" s="11"/>
      <c r="H992" s="11"/>
      <c r="I992" s="11"/>
      <c r="J992" s="12" t="s">
        <v>13</v>
      </c>
      <c r="K992" s="11"/>
    </row>
    <row r="993" spans="1:11" s="14" customFormat="1" ht="75.599999999999994" customHeight="1" x14ac:dyDescent="0.25">
      <c r="A993" s="36">
        <v>1165</v>
      </c>
      <c r="B993" s="49" t="s">
        <v>1365</v>
      </c>
      <c r="C993" s="11"/>
      <c r="D993" s="11" t="s">
        <v>1218</v>
      </c>
      <c r="E993" s="36">
        <v>1</v>
      </c>
      <c r="F993" s="11"/>
      <c r="G993" s="11"/>
      <c r="H993" s="11"/>
      <c r="I993" s="11"/>
      <c r="J993" s="12" t="s">
        <v>13</v>
      </c>
      <c r="K993" s="11"/>
    </row>
    <row r="994" spans="1:11" s="14" customFormat="1" ht="75.599999999999994" customHeight="1" x14ac:dyDescent="0.25">
      <c r="A994" s="36">
        <v>1166</v>
      </c>
      <c r="B994" s="49" t="s">
        <v>1366</v>
      </c>
      <c r="C994" s="11"/>
      <c r="D994" s="11" t="s">
        <v>1218</v>
      </c>
      <c r="E994" s="36">
        <v>2</v>
      </c>
      <c r="F994" s="11"/>
      <c r="G994" s="11"/>
      <c r="H994" s="11"/>
      <c r="I994" s="11"/>
      <c r="J994" s="12" t="s">
        <v>13</v>
      </c>
      <c r="K994" s="11"/>
    </row>
    <row r="995" spans="1:11" s="14" customFormat="1" ht="75.599999999999994" customHeight="1" x14ac:dyDescent="0.25">
      <c r="A995" s="36">
        <v>1193</v>
      </c>
      <c r="B995" s="49" t="s">
        <v>1367</v>
      </c>
      <c r="C995" s="11"/>
      <c r="D995" s="11" t="s">
        <v>1218</v>
      </c>
      <c r="E995" s="36">
        <v>1</v>
      </c>
      <c r="F995" s="11"/>
      <c r="G995" s="11"/>
      <c r="H995" s="11"/>
      <c r="I995" s="11"/>
      <c r="J995" s="12" t="s">
        <v>13</v>
      </c>
      <c r="K995" s="11"/>
    </row>
    <row r="996" spans="1:11" s="14" customFormat="1" ht="75.599999999999994" customHeight="1" x14ac:dyDescent="0.25">
      <c r="A996" s="36">
        <v>1194</v>
      </c>
      <c r="B996" s="49" t="s">
        <v>1368</v>
      </c>
      <c r="C996" s="11"/>
      <c r="D996" s="11" t="s">
        <v>1218</v>
      </c>
      <c r="E996" s="36">
        <v>1</v>
      </c>
      <c r="F996" s="11"/>
      <c r="G996" s="11"/>
      <c r="H996" s="11"/>
      <c r="I996" s="11"/>
      <c r="J996" s="12" t="s">
        <v>13</v>
      </c>
      <c r="K996" s="11"/>
    </row>
    <row r="997" spans="1:11" s="14" customFormat="1" ht="75.599999999999994" customHeight="1" x14ac:dyDescent="0.25">
      <c r="A997" s="36">
        <v>1195</v>
      </c>
      <c r="B997" s="49" t="s">
        <v>1369</v>
      </c>
      <c r="C997" s="11"/>
      <c r="D997" s="11" t="s">
        <v>1218</v>
      </c>
      <c r="E997" s="36">
        <v>1</v>
      </c>
      <c r="F997" s="11"/>
      <c r="G997" s="11"/>
      <c r="H997" s="11"/>
      <c r="I997" s="11"/>
      <c r="J997" s="12" t="s">
        <v>13</v>
      </c>
      <c r="K997" s="11"/>
    </row>
    <row r="998" spans="1:11" s="14" customFormat="1" ht="75.599999999999994" customHeight="1" x14ac:dyDescent="0.25">
      <c r="A998" s="36">
        <v>1196</v>
      </c>
      <c r="B998" s="49" t="s">
        <v>1370</v>
      </c>
      <c r="C998" s="11"/>
      <c r="D998" s="11" t="s">
        <v>1218</v>
      </c>
      <c r="E998" s="36">
        <v>1</v>
      </c>
      <c r="F998" s="11"/>
      <c r="G998" s="11"/>
      <c r="H998" s="11"/>
      <c r="I998" s="11"/>
      <c r="J998" s="12" t="s">
        <v>13</v>
      </c>
      <c r="K998" s="11"/>
    </row>
    <row r="999" spans="1:11" s="14" customFormat="1" ht="75.599999999999994" customHeight="1" x14ac:dyDescent="0.25">
      <c r="A999" s="36">
        <v>1197</v>
      </c>
      <c r="B999" s="49" t="s">
        <v>1371</v>
      </c>
      <c r="C999" s="11"/>
      <c r="D999" s="11" t="s">
        <v>1218</v>
      </c>
      <c r="E999" s="36">
        <v>1</v>
      </c>
      <c r="F999" s="11"/>
      <c r="G999" s="11"/>
      <c r="H999" s="11"/>
      <c r="I999" s="11"/>
      <c r="J999" s="12" t="s">
        <v>13</v>
      </c>
      <c r="K999" s="11"/>
    </row>
    <row r="1000" spans="1:11" s="14" customFormat="1" ht="75.599999999999994" customHeight="1" x14ac:dyDescent="0.25">
      <c r="A1000" s="36">
        <v>1198</v>
      </c>
      <c r="B1000" s="49" t="s">
        <v>1372</v>
      </c>
      <c r="C1000" s="11"/>
      <c r="D1000" s="11" t="s">
        <v>1218</v>
      </c>
      <c r="E1000" s="36">
        <v>1</v>
      </c>
      <c r="F1000" s="11"/>
      <c r="G1000" s="11"/>
      <c r="H1000" s="11"/>
      <c r="I1000" s="11"/>
      <c r="J1000" s="12" t="s">
        <v>13</v>
      </c>
      <c r="K1000" s="11"/>
    </row>
    <row r="1001" spans="1:11" s="14" customFormat="1" ht="75.599999999999994" customHeight="1" x14ac:dyDescent="0.25">
      <c r="A1001" s="36">
        <v>1199</v>
      </c>
      <c r="B1001" s="49" t="s">
        <v>1373</v>
      </c>
      <c r="C1001" s="11"/>
      <c r="D1001" s="11" t="s">
        <v>1218</v>
      </c>
      <c r="E1001" s="36">
        <v>1</v>
      </c>
      <c r="F1001" s="11"/>
      <c r="G1001" s="11"/>
      <c r="H1001" s="11"/>
      <c r="I1001" s="11"/>
      <c r="J1001" s="12" t="s">
        <v>13</v>
      </c>
      <c r="K1001" s="11"/>
    </row>
    <row r="1002" spans="1:11" s="14" customFormat="1" ht="75.599999999999994" customHeight="1" x14ac:dyDescent="0.25">
      <c r="A1002" s="36">
        <v>1200</v>
      </c>
      <c r="B1002" s="49" t="s">
        <v>1374</v>
      </c>
      <c r="C1002" s="11"/>
      <c r="D1002" s="11" t="s">
        <v>1218</v>
      </c>
      <c r="E1002" s="36">
        <v>1</v>
      </c>
      <c r="F1002" s="11"/>
      <c r="G1002" s="11"/>
      <c r="H1002" s="11"/>
      <c r="I1002" s="11"/>
      <c r="J1002" s="12" t="s">
        <v>13</v>
      </c>
      <c r="K1002" s="11"/>
    </row>
    <row r="1003" spans="1:11" s="14" customFormat="1" ht="75.599999999999994" customHeight="1" x14ac:dyDescent="0.25">
      <c r="A1003" s="36">
        <v>1201</v>
      </c>
      <c r="B1003" s="49" t="s">
        <v>1375</v>
      </c>
      <c r="C1003" s="11"/>
      <c r="D1003" s="11" t="s">
        <v>1218</v>
      </c>
      <c r="E1003" s="36">
        <v>1</v>
      </c>
      <c r="F1003" s="11"/>
      <c r="G1003" s="11"/>
      <c r="H1003" s="11"/>
      <c r="I1003" s="11"/>
      <c r="J1003" s="12" t="s">
        <v>13</v>
      </c>
      <c r="K1003" s="11"/>
    </row>
    <row r="1004" spans="1:11" s="14" customFormat="1" ht="75.599999999999994" customHeight="1" x14ac:dyDescent="0.25">
      <c r="A1004" s="36">
        <v>1202</v>
      </c>
      <c r="B1004" s="49" t="s">
        <v>1376</v>
      </c>
      <c r="C1004" s="11"/>
      <c r="D1004" s="11" t="s">
        <v>1218</v>
      </c>
      <c r="E1004" s="36">
        <v>1</v>
      </c>
      <c r="F1004" s="11"/>
      <c r="G1004" s="11"/>
      <c r="H1004" s="11"/>
      <c r="I1004" s="11"/>
      <c r="J1004" s="12" t="s">
        <v>13</v>
      </c>
      <c r="K1004" s="11"/>
    </row>
    <row r="1005" spans="1:11" s="14" customFormat="1" ht="75.599999999999994" customHeight="1" x14ac:dyDescent="0.25">
      <c r="A1005" s="36">
        <v>1203</v>
      </c>
      <c r="B1005" s="49" t="s">
        <v>1377</v>
      </c>
      <c r="C1005" s="11"/>
      <c r="D1005" s="11" t="s">
        <v>1218</v>
      </c>
      <c r="E1005" s="36">
        <v>1</v>
      </c>
      <c r="F1005" s="11"/>
      <c r="G1005" s="11"/>
      <c r="H1005" s="11"/>
      <c r="I1005" s="11"/>
      <c r="J1005" s="12" t="s">
        <v>13</v>
      </c>
      <c r="K1005" s="11"/>
    </row>
    <row r="1006" spans="1:11" s="14" customFormat="1" ht="75.599999999999994" customHeight="1" x14ac:dyDescent="0.25">
      <c r="A1006" s="36">
        <v>1204</v>
      </c>
      <c r="B1006" s="49" t="s">
        <v>1378</v>
      </c>
      <c r="C1006" s="11"/>
      <c r="D1006" s="11" t="s">
        <v>1218</v>
      </c>
      <c r="E1006" s="36">
        <v>1</v>
      </c>
      <c r="F1006" s="11"/>
      <c r="G1006" s="11"/>
      <c r="H1006" s="11"/>
      <c r="I1006" s="11"/>
      <c r="J1006" s="12" t="s">
        <v>13</v>
      </c>
      <c r="K1006" s="11"/>
    </row>
    <row r="1007" spans="1:11" s="14" customFormat="1" ht="75.599999999999994" customHeight="1" x14ac:dyDescent="0.25">
      <c r="A1007" s="36">
        <v>1205</v>
      </c>
      <c r="B1007" s="49" t="s">
        <v>1379</v>
      </c>
      <c r="C1007" s="11"/>
      <c r="D1007" s="11" t="s">
        <v>1218</v>
      </c>
      <c r="E1007" s="36">
        <v>1</v>
      </c>
      <c r="F1007" s="11"/>
      <c r="G1007" s="11"/>
      <c r="H1007" s="11"/>
      <c r="I1007" s="11"/>
      <c r="J1007" s="12" t="s">
        <v>13</v>
      </c>
      <c r="K1007" s="11"/>
    </row>
    <row r="1008" spans="1:11" s="14" customFormat="1" ht="75.599999999999994" customHeight="1" x14ac:dyDescent="0.25">
      <c r="A1008" s="36">
        <v>1206</v>
      </c>
      <c r="B1008" s="49" t="s">
        <v>1380</v>
      </c>
      <c r="C1008" s="11"/>
      <c r="D1008" s="11" t="s">
        <v>1218</v>
      </c>
      <c r="E1008" s="36">
        <v>1</v>
      </c>
      <c r="F1008" s="11"/>
      <c r="G1008" s="11"/>
      <c r="H1008" s="11"/>
      <c r="I1008" s="11"/>
      <c r="J1008" s="12" t="s">
        <v>13</v>
      </c>
      <c r="K1008" s="11"/>
    </row>
    <row r="1009" spans="1:11" s="14" customFormat="1" ht="75.599999999999994" customHeight="1" x14ac:dyDescent="0.25">
      <c r="A1009" s="36">
        <v>1207</v>
      </c>
      <c r="B1009" s="49" t="s">
        <v>1381</v>
      </c>
      <c r="C1009" s="11"/>
      <c r="D1009" s="11" t="s">
        <v>1218</v>
      </c>
      <c r="E1009" s="36">
        <v>1</v>
      </c>
      <c r="F1009" s="11"/>
      <c r="G1009" s="11"/>
      <c r="H1009" s="11"/>
      <c r="I1009" s="11"/>
      <c r="J1009" s="12" t="s">
        <v>13</v>
      </c>
      <c r="K1009" s="11"/>
    </row>
    <row r="1010" spans="1:11" s="14" customFormat="1" ht="75.599999999999994" customHeight="1" x14ac:dyDescent="0.25">
      <c r="A1010" s="36">
        <v>1208</v>
      </c>
      <c r="B1010" s="49" t="s">
        <v>1382</v>
      </c>
      <c r="C1010" s="11"/>
      <c r="D1010" s="11" t="s">
        <v>1218</v>
      </c>
      <c r="E1010" s="36">
        <v>1</v>
      </c>
      <c r="F1010" s="11"/>
      <c r="G1010" s="11"/>
      <c r="H1010" s="11"/>
      <c r="I1010" s="11"/>
      <c r="J1010" s="12" t="s">
        <v>13</v>
      </c>
      <c r="K1010" s="11"/>
    </row>
    <row r="1011" spans="1:11" s="14" customFormat="1" ht="75.599999999999994" customHeight="1" x14ac:dyDescent="0.25">
      <c r="A1011" s="36">
        <v>1209</v>
      </c>
      <c r="B1011" s="49" t="s">
        <v>1383</v>
      </c>
      <c r="C1011" s="11"/>
      <c r="D1011" s="11" t="s">
        <v>1218</v>
      </c>
      <c r="E1011" s="36">
        <v>1</v>
      </c>
      <c r="F1011" s="11"/>
      <c r="G1011" s="11"/>
      <c r="H1011" s="11"/>
      <c r="I1011" s="11"/>
      <c r="J1011" s="12" t="s">
        <v>13</v>
      </c>
      <c r="K1011" s="11"/>
    </row>
    <row r="1012" spans="1:11" s="14" customFormat="1" ht="75.599999999999994" customHeight="1" x14ac:dyDescent="0.25">
      <c r="A1012" s="36">
        <v>1210</v>
      </c>
      <c r="B1012" s="49" t="s">
        <v>1384</v>
      </c>
      <c r="C1012" s="11"/>
      <c r="D1012" s="11" t="s">
        <v>1218</v>
      </c>
      <c r="E1012" s="36">
        <v>1</v>
      </c>
      <c r="F1012" s="11"/>
      <c r="G1012" s="11"/>
      <c r="H1012" s="11"/>
      <c r="I1012" s="11"/>
      <c r="J1012" s="12" t="s">
        <v>13</v>
      </c>
      <c r="K1012" s="11"/>
    </row>
    <row r="1013" spans="1:11" s="14" customFormat="1" ht="75.599999999999994" customHeight="1" x14ac:dyDescent="0.25">
      <c r="A1013" s="36">
        <v>1211</v>
      </c>
      <c r="B1013" s="49" t="s">
        <v>1385</v>
      </c>
      <c r="C1013" s="11"/>
      <c r="D1013" s="11" t="s">
        <v>1218</v>
      </c>
      <c r="E1013" s="36">
        <v>1</v>
      </c>
      <c r="F1013" s="11"/>
      <c r="G1013" s="11"/>
      <c r="H1013" s="11"/>
      <c r="I1013" s="11"/>
      <c r="J1013" s="12" t="s">
        <v>13</v>
      </c>
      <c r="K1013" s="11"/>
    </row>
    <row r="1014" spans="1:11" s="14" customFormat="1" ht="75.599999999999994" customHeight="1" x14ac:dyDescent="0.25">
      <c r="A1014" s="36">
        <v>1262</v>
      </c>
      <c r="B1014" s="49" t="s">
        <v>1386</v>
      </c>
      <c r="C1014" s="11"/>
      <c r="D1014" s="11" t="s">
        <v>1218</v>
      </c>
      <c r="E1014" s="36">
        <v>1</v>
      </c>
      <c r="F1014" s="11">
        <v>1</v>
      </c>
      <c r="G1014" s="11" t="s">
        <v>992</v>
      </c>
      <c r="H1014" s="22">
        <v>46233</v>
      </c>
      <c r="I1014" s="11"/>
      <c r="J1014" s="12" t="s">
        <v>13</v>
      </c>
      <c r="K1014" s="11"/>
    </row>
    <row r="1015" spans="1:11" s="14" customFormat="1" ht="75.599999999999994" customHeight="1" x14ac:dyDescent="0.25">
      <c r="A1015" s="36">
        <v>1273</v>
      </c>
      <c r="B1015" s="49" t="s">
        <v>1388</v>
      </c>
      <c r="C1015" s="11"/>
      <c r="D1015" s="11" t="s">
        <v>1218</v>
      </c>
      <c r="E1015" s="36">
        <v>1</v>
      </c>
      <c r="F1015" s="11"/>
      <c r="G1015" s="11"/>
      <c r="H1015" s="11"/>
      <c r="I1015" s="11"/>
      <c r="J1015" s="12" t="s">
        <v>13</v>
      </c>
      <c r="K1015" s="11"/>
    </row>
    <row r="1016" spans="1:11" s="14" customFormat="1" ht="75.599999999999994" customHeight="1" x14ac:dyDescent="0.25">
      <c r="A1016" s="36">
        <v>1274</v>
      </c>
      <c r="B1016" s="49" t="s">
        <v>1389</v>
      </c>
      <c r="C1016" s="11"/>
      <c r="D1016" s="11" t="s">
        <v>1218</v>
      </c>
      <c r="E1016" s="36">
        <v>1</v>
      </c>
      <c r="F1016" s="11"/>
      <c r="G1016" s="11"/>
      <c r="H1016" s="11"/>
      <c r="I1016" s="11"/>
      <c r="J1016" s="12" t="s">
        <v>13</v>
      </c>
      <c r="K1016" s="11"/>
    </row>
    <row r="1017" spans="1:11" s="14" customFormat="1" ht="75.599999999999994" customHeight="1" x14ac:dyDescent="0.25">
      <c r="A1017" s="36">
        <v>1275</v>
      </c>
      <c r="B1017" s="49" t="s">
        <v>1390</v>
      </c>
      <c r="C1017" s="11"/>
      <c r="D1017" s="11" t="s">
        <v>1218</v>
      </c>
      <c r="E1017" s="36">
        <v>1</v>
      </c>
      <c r="F1017" s="11"/>
      <c r="G1017" s="11"/>
      <c r="H1017" s="11"/>
      <c r="I1017" s="11"/>
      <c r="J1017" s="12" t="s">
        <v>13</v>
      </c>
      <c r="K1017" s="11"/>
    </row>
    <row r="1018" spans="1:11" s="14" customFormat="1" ht="75.599999999999994" customHeight="1" x14ac:dyDescent="0.25">
      <c r="A1018" s="36">
        <v>1276</v>
      </c>
      <c r="B1018" s="49" t="s">
        <v>1391</v>
      </c>
      <c r="C1018" s="11"/>
      <c r="D1018" s="11" t="s">
        <v>1218</v>
      </c>
      <c r="E1018" s="36">
        <v>1</v>
      </c>
      <c r="F1018" s="11"/>
      <c r="G1018" s="11"/>
      <c r="H1018" s="11"/>
      <c r="I1018" s="11"/>
      <c r="J1018" s="12" t="s">
        <v>13</v>
      </c>
      <c r="K1018" s="11"/>
    </row>
    <row r="1019" spans="1:11" s="14" customFormat="1" ht="18" x14ac:dyDescent="0.25">
      <c r="A1019" s="21">
        <v>5001</v>
      </c>
      <c r="B1019" s="13" t="s">
        <v>1392</v>
      </c>
      <c r="C1019" s="11"/>
      <c r="D1019" s="11" t="s">
        <v>1393</v>
      </c>
      <c r="E1019" s="36">
        <v>300</v>
      </c>
      <c r="F1019" s="11"/>
      <c r="G1019" s="11"/>
      <c r="H1019" s="11"/>
      <c r="I1019" s="11"/>
      <c r="J1019" s="12" t="s">
        <v>13</v>
      </c>
      <c r="K1019" s="13"/>
    </row>
    <row r="1020" spans="1:11" s="14" customFormat="1" ht="36" x14ac:dyDescent="0.25">
      <c r="A1020" s="21">
        <v>5002</v>
      </c>
      <c r="B1020" s="13" t="s">
        <v>1394</v>
      </c>
      <c r="C1020" s="11"/>
      <c r="D1020" s="11" t="s">
        <v>1393</v>
      </c>
      <c r="E1020" s="36">
        <v>30</v>
      </c>
      <c r="F1020" s="11"/>
      <c r="G1020" s="11"/>
      <c r="H1020" s="11"/>
      <c r="I1020" s="11"/>
      <c r="J1020" s="12" t="s">
        <v>13</v>
      </c>
      <c r="K1020" s="13"/>
    </row>
    <row r="1021" spans="1:11" s="14" customFormat="1" ht="36" x14ac:dyDescent="0.25">
      <c r="A1021" s="21">
        <v>5003</v>
      </c>
      <c r="B1021" s="13" t="s">
        <v>1395</v>
      </c>
      <c r="C1021" s="11"/>
      <c r="D1021" s="11" t="s">
        <v>1393</v>
      </c>
      <c r="E1021" s="36">
        <v>30</v>
      </c>
      <c r="F1021" s="11"/>
      <c r="G1021" s="11"/>
      <c r="H1021" s="11"/>
      <c r="I1021" s="11"/>
      <c r="J1021" s="12" t="s">
        <v>13</v>
      </c>
      <c r="K1021" s="13"/>
    </row>
    <row r="1022" spans="1:11" s="14" customFormat="1" ht="36" x14ac:dyDescent="0.25">
      <c r="A1022" s="21">
        <v>5004</v>
      </c>
      <c r="B1022" s="13" t="s">
        <v>1396</v>
      </c>
      <c r="C1022" s="11"/>
      <c r="D1022" s="11" t="s">
        <v>1393</v>
      </c>
      <c r="E1022" s="36">
        <v>20</v>
      </c>
      <c r="F1022" s="11"/>
      <c r="G1022" s="11"/>
      <c r="H1022" s="11"/>
      <c r="I1022" s="11"/>
      <c r="J1022" s="12" t="s">
        <v>13</v>
      </c>
      <c r="K1022" s="13"/>
    </row>
    <row r="1023" spans="1:11" s="14" customFormat="1" ht="36" x14ac:dyDescent="0.25">
      <c r="A1023" s="21">
        <v>5005</v>
      </c>
      <c r="B1023" s="13" t="s">
        <v>1397</v>
      </c>
      <c r="C1023" s="11"/>
      <c r="D1023" s="11" t="s">
        <v>1393</v>
      </c>
      <c r="E1023" s="36">
        <v>30</v>
      </c>
      <c r="F1023" s="11"/>
      <c r="G1023" s="11"/>
      <c r="H1023" s="11"/>
      <c r="I1023" s="11"/>
      <c r="J1023" s="12" t="s">
        <v>13</v>
      </c>
      <c r="K1023" s="13"/>
    </row>
    <row r="1024" spans="1:11" s="14" customFormat="1" ht="36" x14ac:dyDescent="0.25">
      <c r="A1024" s="21">
        <v>5006</v>
      </c>
      <c r="B1024" s="13" t="s">
        <v>1398</v>
      </c>
      <c r="C1024" s="11"/>
      <c r="D1024" s="11" t="s">
        <v>1393</v>
      </c>
      <c r="E1024" s="36">
        <v>50</v>
      </c>
      <c r="F1024" s="11"/>
      <c r="G1024" s="11"/>
      <c r="H1024" s="11"/>
      <c r="I1024" s="11"/>
      <c r="J1024" s="12" t="s">
        <v>13</v>
      </c>
      <c r="K1024" s="13"/>
    </row>
    <row r="1025" spans="1:11" s="14" customFormat="1" ht="36" x14ac:dyDescent="0.25">
      <c r="A1025" s="21">
        <v>5007</v>
      </c>
      <c r="B1025" s="13" t="s">
        <v>1399</v>
      </c>
      <c r="C1025" s="11"/>
      <c r="D1025" s="11" t="s">
        <v>1393</v>
      </c>
      <c r="E1025" s="36">
        <v>120</v>
      </c>
      <c r="F1025" s="11"/>
      <c r="G1025" s="11"/>
      <c r="H1025" s="11"/>
      <c r="I1025" s="11"/>
      <c r="J1025" s="12" t="s">
        <v>13</v>
      </c>
      <c r="K1025" s="13"/>
    </row>
    <row r="1026" spans="1:11" s="14" customFormat="1" ht="36" x14ac:dyDescent="0.25">
      <c r="A1026" s="21">
        <v>5008</v>
      </c>
      <c r="B1026" s="13" t="s">
        <v>1400</v>
      </c>
      <c r="C1026" s="11"/>
      <c r="D1026" s="11" t="s">
        <v>1393</v>
      </c>
      <c r="E1026" s="36">
        <v>120</v>
      </c>
      <c r="F1026" s="11"/>
      <c r="G1026" s="11"/>
      <c r="H1026" s="11"/>
      <c r="I1026" s="11"/>
      <c r="J1026" s="12" t="s">
        <v>13</v>
      </c>
      <c r="K1026" s="13"/>
    </row>
    <row r="1027" spans="1:11" s="14" customFormat="1" ht="36" x14ac:dyDescent="0.25">
      <c r="A1027" s="21">
        <v>5009</v>
      </c>
      <c r="B1027" s="13" t="s">
        <v>1401</v>
      </c>
      <c r="C1027" s="11"/>
      <c r="D1027" s="11" t="s">
        <v>1393</v>
      </c>
      <c r="E1027" s="36">
        <v>100</v>
      </c>
      <c r="F1027" s="11"/>
      <c r="G1027" s="11"/>
      <c r="H1027" s="11"/>
      <c r="I1027" s="11"/>
      <c r="J1027" s="12" t="s">
        <v>13</v>
      </c>
      <c r="K1027" s="13"/>
    </row>
    <row r="1028" spans="1:11" s="14" customFormat="1" ht="36" x14ac:dyDescent="0.25">
      <c r="A1028" s="21">
        <v>5010</v>
      </c>
      <c r="B1028" s="13" t="s">
        <v>1402</v>
      </c>
      <c r="C1028" s="11"/>
      <c r="D1028" s="11" t="s">
        <v>1393</v>
      </c>
      <c r="E1028" s="36">
        <v>100</v>
      </c>
      <c r="F1028" s="11"/>
      <c r="G1028" s="11"/>
      <c r="H1028" s="11"/>
      <c r="I1028" s="11"/>
      <c r="J1028" s="12" t="s">
        <v>13</v>
      </c>
      <c r="K1028" s="13"/>
    </row>
    <row r="1029" spans="1:11" s="14" customFormat="1" ht="36" x14ac:dyDescent="0.25">
      <c r="A1029" s="21">
        <v>5011</v>
      </c>
      <c r="B1029" s="13" t="s">
        <v>1403</v>
      </c>
      <c r="C1029" s="11"/>
      <c r="D1029" s="11" t="s">
        <v>1393</v>
      </c>
      <c r="E1029" s="36">
        <v>30</v>
      </c>
      <c r="F1029" s="11"/>
      <c r="G1029" s="11"/>
      <c r="H1029" s="11"/>
      <c r="I1029" s="11"/>
      <c r="J1029" s="12" t="s">
        <v>13</v>
      </c>
      <c r="K1029" s="13"/>
    </row>
    <row r="1030" spans="1:11" s="14" customFormat="1" ht="36" x14ac:dyDescent="0.25">
      <c r="A1030" s="21">
        <v>5012</v>
      </c>
      <c r="B1030" s="13" t="s">
        <v>1404</v>
      </c>
      <c r="C1030" s="11"/>
      <c r="D1030" s="11" t="s">
        <v>1393</v>
      </c>
      <c r="E1030" s="36">
        <v>20</v>
      </c>
      <c r="F1030" s="11"/>
      <c r="G1030" s="11"/>
      <c r="H1030" s="11"/>
      <c r="I1030" s="11"/>
      <c r="J1030" s="12" t="s">
        <v>13</v>
      </c>
      <c r="K1030" s="13"/>
    </row>
    <row r="1031" spans="1:11" s="14" customFormat="1" ht="36" x14ac:dyDescent="0.25">
      <c r="A1031" s="21">
        <v>5013</v>
      </c>
      <c r="B1031" s="13" t="s">
        <v>1405</v>
      </c>
      <c r="C1031" s="11"/>
      <c r="D1031" s="11" t="s">
        <v>1393</v>
      </c>
      <c r="E1031" s="36">
        <v>60</v>
      </c>
      <c r="F1031" s="11"/>
      <c r="G1031" s="11"/>
      <c r="H1031" s="11"/>
      <c r="I1031" s="11"/>
      <c r="J1031" s="12" t="s">
        <v>13</v>
      </c>
      <c r="K1031" s="13"/>
    </row>
    <row r="1032" spans="1:11" s="14" customFormat="1" ht="36" x14ac:dyDescent="0.25">
      <c r="A1032" s="21">
        <v>5014</v>
      </c>
      <c r="B1032" s="13" t="s">
        <v>1406</v>
      </c>
      <c r="C1032" s="11"/>
      <c r="D1032" s="11" t="s">
        <v>1393</v>
      </c>
      <c r="E1032" s="36">
        <v>100</v>
      </c>
      <c r="F1032" s="11"/>
      <c r="G1032" s="11"/>
      <c r="H1032" s="11"/>
      <c r="I1032" s="11"/>
      <c r="J1032" s="12" t="s">
        <v>13</v>
      </c>
      <c r="K1032" s="13"/>
    </row>
    <row r="1033" spans="1:11" s="14" customFormat="1" ht="36" x14ac:dyDescent="0.25">
      <c r="A1033" s="21">
        <v>5015</v>
      </c>
      <c r="B1033" s="13" t="s">
        <v>1407</v>
      </c>
      <c r="C1033" s="11"/>
      <c r="D1033" s="11" t="s">
        <v>1393</v>
      </c>
      <c r="E1033" s="36">
        <v>60</v>
      </c>
      <c r="F1033" s="11"/>
      <c r="G1033" s="11"/>
      <c r="H1033" s="11"/>
      <c r="I1033" s="11"/>
      <c r="J1033" s="12" t="s">
        <v>13</v>
      </c>
      <c r="K1033" s="13"/>
    </row>
    <row r="1034" spans="1:11" s="14" customFormat="1" ht="36" x14ac:dyDescent="0.25">
      <c r="A1034" s="21">
        <v>5016</v>
      </c>
      <c r="B1034" s="13" t="s">
        <v>1408</v>
      </c>
      <c r="C1034" s="11"/>
      <c r="D1034" s="11" t="s">
        <v>1393</v>
      </c>
      <c r="E1034" s="36">
        <v>30</v>
      </c>
      <c r="F1034" s="11"/>
      <c r="G1034" s="11"/>
      <c r="H1034" s="11"/>
      <c r="I1034" s="11"/>
      <c r="J1034" s="12" t="s">
        <v>13</v>
      </c>
      <c r="K1034" s="13"/>
    </row>
    <row r="1035" spans="1:11" s="14" customFormat="1" ht="36" x14ac:dyDescent="0.25">
      <c r="A1035" s="21">
        <v>5017</v>
      </c>
      <c r="B1035" s="13" t="s">
        <v>1409</v>
      </c>
      <c r="C1035" s="11"/>
      <c r="D1035" s="11" t="s">
        <v>1393</v>
      </c>
      <c r="E1035" s="36">
        <v>50</v>
      </c>
      <c r="F1035" s="11"/>
      <c r="G1035" s="11"/>
      <c r="H1035" s="11"/>
      <c r="I1035" s="11"/>
      <c r="J1035" s="12" t="s">
        <v>13</v>
      </c>
      <c r="K1035" s="13"/>
    </row>
    <row r="1036" spans="1:11" s="14" customFormat="1" ht="36" x14ac:dyDescent="0.25">
      <c r="A1036" s="21">
        <v>5018</v>
      </c>
      <c r="B1036" s="13" t="s">
        <v>1410</v>
      </c>
      <c r="C1036" s="11"/>
      <c r="D1036" s="11" t="s">
        <v>1393</v>
      </c>
      <c r="E1036" s="36">
        <v>50</v>
      </c>
      <c r="F1036" s="11"/>
      <c r="G1036" s="11"/>
      <c r="H1036" s="11"/>
      <c r="I1036" s="11"/>
      <c r="J1036" s="12" t="s">
        <v>13</v>
      </c>
      <c r="K1036" s="13"/>
    </row>
    <row r="1037" spans="1:11" s="14" customFormat="1" ht="36" x14ac:dyDescent="0.25">
      <c r="A1037" s="21">
        <v>5019</v>
      </c>
      <c r="B1037" s="13" t="s">
        <v>1411</v>
      </c>
      <c r="C1037" s="11"/>
      <c r="D1037" s="11" t="s">
        <v>1393</v>
      </c>
      <c r="E1037" s="36">
        <v>50</v>
      </c>
      <c r="F1037" s="11"/>
      <c r="G1037" s="11"/>
      <c r="H1037" s="11"/>
      <c r="I1037" s="11"/>
      <c r="J1037" s="12" t="s">
        <v>13</v>
      </c>
      <c r="K1037" s="13"/>
    </row>
    <row r="1038" spans="1:11" s="14" customFormat="1" ht="36" x14ac:dyDescent="0.25">
      <c r="A1038" s="21">
        <v>5020</v>
      </c>
      <c r="B1038" s="13" t="s">
        <v>1412</v>
      </c>
      <c r="C1038" s="11"/>
      <c r="D1038" s="11" t="s">
        <v>1393</v>
      </c>
      <c r="E1038" s="36">
        <v>50</v>
      </c>
      <c r="F1038" s="11"/>
      <c r="G1038" s="11"/>
      <c r="H1038" s="11"/>
      <c r="I1038" s="11"/>
      <c r="J1038" s="12" t="s">
        <v>13</v>
      </c>
      <c r="K1038" s="13"/>
    </row>
    <row r="1039" spans="1:11" s="14" customFormat="1" ht="36" x14ac:dyDescent="0.25">
      <c r="A1039" s="21">
        <v>5021</v>
      </c>
      <c r="B1039" s="13" t="s">
        <v>1413</v>
      </c>
      <c r="C1039" s="11"/>
      <c r="D1039" s="11" t="s">
        <v>1393</v>
      </c>
      <c r="E1039" s="36">
        <v>50</v>
      </c>
      <c r="F1039" s="11"/>
      <c r="G1039" s="11"/>
      <c r="H1039" s="11"/>
      <c r="I1039" s="11"/>
      <c r="J1039" s="12" t="s">
        <v>13</v>
      </c>
      <c r="K1039" s="13"/>
    </row>
    <row r="1040" spans="1:11" s="14" customFormat="1" ht="36" x14ac:dyDescent="0.25">
      <c r="A1040" s="21">
        <v>5022</v>
      </c>
      <c r="B1040" s="13" t="s">
        <v>1414</v>
      </c>
      <c r="C1040" s="11"/>
      <c r="D1040" s="11" t="s">
        <v>1393</v>
      </c>
      <c r="E1040" s="36">
        <v>30</v>
      </c>
      <c r="F1040" s="11"/>
      <c r="G1040" s="11"/>
      <c r="H1040" s="11"/>
      <c r="I1040" s="11"/>
      <c r="J1040" s="12" t="s">
        <v>13</v>
      </c>
      <c r="K1040" s="13"/>
    </row>
    <row r="1041" spans="1:11" s="14" customFormat="1" ht="36" x14ac:dyDescent="0.25">
      <c r="A1041" s="21">
        <v>5023</v>
      </c>
      <c r="B1041" s="13" t="s">
        <v>1415</v>
      </c>
      <c r="C1041" s="11"/>
      <c r="D1041" s="11" t="s">
        <v>1393</v>
      </c>
      <c r="E1041" s="36">
        <v>200</v>
      </c>
      <c r="F1041" s="11"/>
      <c r="G1041" s="11"/>
      <c r="H1041" s="11"/>
      <c r="I1041" s="11"/>
      <c r="J1041" s="12" t="s">
        <v>13</v>
      </c>
      <c r="K1041" s="13"/>
    </row>
    <row r="1042" spans="1:11" s="14" customFormat="1" ht="36" x14ac:dyDescent="0.25">
      <c r="A1042" s="21">
        <v>5024</v>
      </c>
      <c r="B1042" s="13" t="s">
        <v>1416</v>
      </c>
      <c r="C1042" s="11"/>
      <c r="D1042" s="11" t="s">
        <v>1393</v>
      </c>
      <c r="E1042" s="36">
        <v>150</v>
      </c>
      <c r="F1042" s="11"/>
      <c r="G1042" s="11"/>
      <c r="H1042" s="11"/>
      <c r="I1042" s="11"/>
      <c r="J1042" s="12" t="s">
        <v>13</v>
      </c>
      <c r="K1042" s="13"/>
    </row>
    <row r="1043" spans="1:11" s="14" customFormat="1" ht="18" x14ac:dyDescent="0.25">
      <c r="A1043" s="21">
        <v>5025</v>
      </c>
      <c r="B1043" s="13" t="s">
        <v>1417</v>
      </c>
      <c r="C1043" s="11"/>
      <c r="D1043" s="11" t="s">
        <v>1393</v>
      </c>
      <c r="E1043" s="36">
        <v>300</v>
      </c>
      <c r="F1043" s="11"/>
      <c r="G1043" s="11"/>
      <c r="H1043" s="11"/>
      <c r="I1043" s="11"/>
      <c r="J1043" s="12" t="s">
        <v>13</v>
      </c>
      <c r="K1043" s="13"/>
    </row>
    <row r="1044" spans="1:11" s="14" customFormat="1" ht="18" x14ac:dyDescent="0.25">
      <c r="A1044" s="21">
        <v>5026</v>
      </c>
      <c r="B1044" s="13" t="s">
        <v>1418</v>
      </c>
      <c r="C1044" s="11"/>
      <c r="D1044" s="11" t="s">
        <v>1393</v>
      </c>
      <c r="E1044" s="36">
        <v>200</v>
      </c>
      <c r="F1044" s="11"/>
      <c r="G1044" s="11"/>
      <c r="H1044" s="11"/>
      <c r="I1044" s="11"/>
      <c r="J1044" s="12" t="s">
        <v>13</v>
      </c>
      <c r="K1044" s="13"/>
    </row>
    <row r="1045" spans="1:11" s="14" customFormat="1" ht="18" x14ac:dyDescent="0.25">
      <c r="A1045" s="21">
        <v>5027</v>
      </c>
      <c r="B1045" s="13" t="s">
        <v>1419</v>
      </c>
      <c r="C1045" s="11"/>
      <c r="D1045" s="11" t="s">
        <v>1393</v>
      </c>
      <c r="E1045" s="36">
        <v>200</v>
      </c>
      <c r="F1045" s="11"/>
      <c r="G1045" s="11"/>
      <c r="H1045" s="11"/>
      <c r="I1045" s="11"/>
      <c r="J1045" s="12" t="s">
        <v>13</v>
      </c>
      <c r="K1045" s="13"/>
    </row>
    <row r="1046" spans="1:11" s="14" customFormat="1" ht="18" x14ac:dyDescent="0.25">
      <c r="A1046" s="21">
        <v>5028</v>
      </c>
      <c r="B1046" s="13" t="s">
        <v>1392</v>
      </c>
      <c r="C1046" s="11"/>
      <c r="D1046" s="11" t="s">
        <v>1393</v>
      </c>
      <c r="E1046" s="36">
        <v>300</v>
      </c>
      <c r="F1046" s="11"/>
      <c r="G1046" s="11"/>
      <c r="H1046" s="11"/>
      <c r="I1046" s="11"/>
      <c r="J1046" s="12" t="s">
        <v>13</v>
      </c>
      <c r="K1046" s="11"/>
    </row>
    <row r="1047" spans="1:11" s="14" customFormat="1" ht="18" x14ac:dyDescent="0.25">
      <c r="A1047" s="21">
        <v>5029</v>
      </c>
      <c r="B1047" s="13" t="s">
        <v>1392</v>
      </c>
      <c r="C1047" s="11"/>
      <c r="D1047" s="11" t="s">
        <v>1393</v>
      </c>
      <c r="E1047" s="36">
        <v>300</v>
      </c>
      <c r="F1047" s="11"/>
      <c r="G1047" s="11"/>
      <c r="H1047" s="11"/>
      <c r="I1047" s="11"/>
      <c r="J1047" s="12" t="s">
        <v>13</v>
      </c>
      <c r="K1047" s="11"/>
    </row>
    <row r="1048" spans="1:11" s="14" customFormat="1" ht="18" x14ac:dyDescent="0.25">
      <c r="A1048" s="21">
        <v>5030</v>
      </c>
      <c r="B1048" s="13" t="s">
        <v>1392</v>
      </c>
      <c r="C1048" s="11"/>
      <c r="D1048" s="11" t="s">
        <v>1393</v>
      </c>
      <c r="E1048" s="36">
        <v>300</v>
      </c>
      <c r="F1048" s="11"/>
      <c r="G1048" s="11"/>
      <c r="H1048" s="11"/>
      <c r="I1048" s="11"/>
      <c r="J1048" s="12" t="s">
        <v>13</v>
      </c>
      <c r="K1048" s="11"/>
    </row>
    <row r="1049" spans="1:11" s="14" customFormat="1" ht="18" x14ac:dyDescent="0.25">
      <c r="A1049" s="21">
        <v>5031</v>
      </c>
      <c r="B1049" s="13" t="s">
        <v>1392</v>
      </c>
      <c r="C1049" s="11"/>
      <c r="D1049" s="11" t="s">
        <v>1393</v>
      </c>
      <c r="E1049" s="36">
        <v>300</v>
      </c>
      <c r="F1049" s="11"/>
      <c r="G1049" s="11"/>
      <c r="H1049" s="11"/>
      <c r="I1049" s="11"/>
      <c r="J1049" s="12" t="s">
        <v>13</v>
      </c>
      <c r="K1049" s="11"/>
    </row>
    <row r="1050" spans="1:11" s="14" customFormat="1" ht="18" x14ac:dyDescent="0.25">
      <c r="A1050" s="21">
        <v>5032</v>
      </c>
      <c r="B1050" s="13" t="s">
        <v>1392</v>
      </c>
      <c r="C1050" s="11"/>
      <c r="D1050" s="11" t="s">
        <v>1393</v>
      </c>
      <c r="E1050" s="36">
        <v>300</v>
      </c>
      <c r="F1050" s="11"/>
      <c r="G1050" s="11"/>
      <c r="H1050" s="11"/>
      <c r="I1050" s="11"/>
      <c r="J1050" s="12" t="s">
        <v>13</v>
      </c>
      <c r="K1050" s="11"/>
    </row>
    <row r="1051" spans="1:11" s="56" customFormat="1" ht="18" x14ac:dyDescent="0.25">
      <c r="A1051" s="51"/>
      <c r="B1051" s="52" t="s">
        <v>1420</v>
      </c>
      <c r="C1051" s="53"/>
      <c r="D1051" s="54"/>
      <c r="E1051" s="51"/>
      <c r="F1051" s="54"/>
      <c r="G1051" s="55"/>
      <c r="H1051" s="52" t="s">
        <v>1421</v>
      </c>
      <c r="I1051" s="54"/>
      <c r="J1051" s="12" t="s">
        <v>13</v>
      </c>
      <c r="K1051" s="54"/>
    </row>
    <row r="1052" spans="1:11" s="14" customFormat="1" ht="36" x14ac:dyDescent="0.25">
      <c r="A1052" s="21">
        <v>5033</v>
      </c>
      <c r="B1052" s="13" t="s">
        <v>1422</v>
      </c>
      <c r="C1052" s="53"/>
      <c r="D1052" s="11" t="s">
        <v>1129</v>
      </c>
      <c r="E1052" s="36">
        <v>3</v>
      </c>
      <c r="F1052" s="11"/>
      <c r="G1052" s="55"/>
      <c r="H1052" s="11" t="s">
        <v>1423</v>
      </c>
      <c r="I1052" s="11"/>
      <c r="J1052" s="12" t="s">
        <v>13</v>
      </c>
      <c r="K1052" s="11"/>
    </row>
    <row r="1053" spans="1:11" s="14" customFormat="1" ht="36" x14ac:dyDescent="0.25">
      <c r="A1053" s="21">
        <v>5034</v>
      </c>
      <c r="B1053" s="13" t="s">
        <v>1424</v>
      </c>
      <c r="C1053" s="53"/>
      <c r="D1053" s="11" t="s">
        <v>1129</v>
      </c>
      <c r="E1053" s="36">
        <v>3</v>
      </c>
      <c r="F1053" s="11"/>
      <c r="G1053" s="55"/>
      <c r="H1053" s="11" t="s">
        <v>1425</v>
      </c>
      <c r="I1053" s="11"/>
      <c r="J1053" s="12" t="s">
        <v>13</v>
      </c>
      <c r="K1053" s="11"/>
    </row>
    <row r="1054" spans="1:11" s="14" customFormat="1" ht="36" x14ac:dyDescent="0.25">
      <c r="A1054" s="21">
        <v>5035</v>
      </c>
      <c r="B1054" s="13" t="s">
        <v>1426</v>
      </c>
      <c r="C1054" s="53"/>
      <c r="D1054" s="11" t="s">
        <v>1129</v>
      </c>
      <c r="E1054" s="36">
        <v>3</v>
      </c>
      <c r="F1054" s="11"/>
      <c r="G1054" s="55"/>
      <c r="H1054" s="11" t="s">
        <v>1427</v>
      </c>
      <c r="I1054" s="11"/>
      <c r="J1054" s="12" t="s">
        <v>13</v>
      </c>
      <c r="K1054" s="11"/>
    </row>
    <row r="1055" spans="1:11" s="14" customFormat="1" ht="36" x14ac:dyDescent="0.25">
      <c r="A1055" s="21">
        <v>5036</v>
      </c>
      <c r="B1055" s="13" t="s">
        <v>1428</v>
      </c>
      <c r="C1055" s="53"/>
      <c r="D1055" s="11" t="s">
        <v>1129</v>
      </c>
      <c r="E1055" s="36">
        <v>5</v>
      </c>
      <c r="F1055" s="11"/>
      <c r="G1055" s="55"/>
      <c r="H1055" s="11" t="s">
        <v>1429</v>
      </c>
      <c r="I1055" s="11"/>
      <c r="J1055" s="12" t="s">
        <v>13</v>
      </c>
      <c r="K1055" s="11"/>
    </row>
    <row r="1056" spans="1:11" s="14" customFormat="1" ht="36" x14ac:dyDescent="0.25">
      <c r="A1056" s="21">
        <v>5037</v>
      </c>
      <c r="B1056" s="13" t="s">
        <v>1428</v>
      </c>
      <c r="C1056" s="53"/>
      <c r="D1056" s="11" t="s">
        <v>1129</v>
      </c>
      <c r="E1056" s="36">
        <v>6</v>
      </c>
      <c r="F1056" s="11"/>
      <c r="G1056" s="55"/>
      <c r="H1056" s="11" t="s">
        <v>1430</v>
      </c>
      <c r="I1056" s="11"/>
      <c r="J1056" s="12" t="s">
        <v>13</v>
      </c>
      <c r="K1056" s="11"/>
    </row>
    <row r="1057" spans="1:11" s="14" customFormat="1" ht="36" x14ac:dyDescent="0.25">
      <c r="A1057" s="21">
        <v>5038</v>
      </c>
      <c r="B1057" s="13" t="s">
        <v>1431</v>
      </c>
      <c r="C1057" s="53"/>
      <c r="D1057" s="11" t="s">
        <v>1129</v>
      </c>
      <c r="E1057" s="36">
        <v>5</v>
      </c>
      <c r="F1057" s="11"/>
      <c r="G1057" s="55"/>
      <c r="H1057" s="11" t="s">
        <v>1432</v>
      </c>
      <c r="I1057" s="11"/>
      <c r="J1057" s="12" t="s">
        <v>13</v>
      </c>
      <c r="K1057" s="11"/>
    </row>
    <row r="1058" spans="1:11" s="14" customFormat="1" ht="36" x14ac:dyDescent="0.25">
      <c r="A1058" s="21">
        <v>5039</v>
      </c>
      <c r="B1058" s="13" t="s">
        <v>1433</v>
      </c>
      <c r="C1058" s="53"/>
      <c r="D1058" s="11" t="s">
        <v>1129</v>
      </c>
      <c r="E1058" s="36">
        <v>5</v>
      </c>
      <c r="F1058" s="11"/>
      <c r="G1058" s="55"/>
      <c r="H1058" s="11" t="s">
        <v>1434</v>
      </c>
      <c r="I1058" s="11"/>
      <c r="J1058" s="12" t="s">
        <v>13</v>
      </c>
      <c r="K1058" s="11"/>
    </row>
    <row r="1059" spans="1:11" s="14" customFormat="1" ht="36" x14ac:dyDescent="0.25">
      <c r="A1059" s="21">
        <v>5040</v>
      </c>
      <c r="B1059" s="13" t="s">
        <v>1435</v>
      </c>
      <c r="C1059" s="53"/>
      <c r="D1059" s="11" t="s">
        <v>1129</v>
      </c>
      <c r="E1059" s="36">
        <v>15</v>
      </c>
      <c r="F1059" s="11"/>
      <c r="G1059" s="55"/>
      <c r="H1059" s="11" t="s">
        <v>1436</v>
      </c>
      <c r="I1059" s="11"/>
      <c r="J1059" s="12" t="s">
        <v>13</v>
      </c>
      <c r="K1059" s="11"/>
    </row>
    <row r="1060" spans="1:11" s="14" customFormat="1" ht="54" x14ac:dyDescent="0.25">
      <c r="A1060" s="21">
        <v>5041</v>
      </c>
      <c r="B1060" s="13" t="s">
        <v>1437</v>
      </c>
      <c r="C1060" s="53"/>
      <c r="D1060" s="11" t="s">
        <v>1129</v>
      </c>
      <c r="E1060" s="36">
        <v>5</v>
      </c>
      <c r="F1060" s="11"/>
      <c r="G1060" s="55"/>
      <c r="H1060" s="11" t="s">
        <v>1438</v>
      </c>
      <c r="I1060" s="11"/>
      <c r="J1060" s="12" t="s">
        <v>13</v>
      </c>
      <c r="K1060" s="11"/>
    </row>
    <row r="1061" spans="1:11" s="14" customFormat="1" ht="36" x14ac:dyDescent="0.25">
      <c r="A1061" s="21">
        <v>5042</v>
      </c>
      <c r="B1061" s="13" t="s">
        <v>1439</v>
      </c>
      <c r="C1061" s="53"/>
      <c r="D1061" s="11" t="s">
        <v>1129</v>
      </c>
      <c r="E1061" s="36">
        <v>5</v>
      </c>
      <c r="F1061" s="11"/>
      <c r="G1061" s="55"/>
      <c r="H1061" s="11" t="s">
        <v>1438</v>
      </c>
      <c r="I1061" s="11"/>
      <c r="J1061" s="12" t="s">
        <v>13</v>
      </c>
      <c r="K1061" s="11"/>
    </row>
    <row r="1062" spans="1:11" s="14" customFormat="1" ht="18" x14ac:dyDescent="0.25">
      <c r="A1062" s="21">
        <v>5043</v>
      </c>
      <c r="B1062" s="11" t="s">
        <v>1440</v>
      </c>
      <c r="C1062" s="53"/>
      <c r="D1062" s="11" t="s">
        <v>1129</v>
      </c>
      <c r="E1062" s="36">
        <v>25</v>
      </c>
      <c r="F1062" s="11"/>
      <c r="G1062" s="55"/>
      <c r="H1062" s="11" t="s">
        <v>1441</v>
      </c>
      <c r="I1062" s="11"/>
      <c r="J1062" s="12" t="s">
        <v>13</v>
      </c>
      <c r="K1062" s="11"/>
    </row>
    <row r="1063" spans="1:11" s="14" customFormat="1" ht="18" x14ac:dyDescent="0.25">
      <c r="A1063" s="36"/>
      <c r="B1063" s="11"/>
      <c r="C1063" s="53"/>
      <c r="D1063" s="11"/>
      <c r="E1063" s="36"/>
      <c r="F1063" s="11"/>
      <c r="G1063" s="55"/>
      <c r="H1063" s="11"/>
      <c r="I1063" s="11"/>
      <c r="J1063" s="12" t="s">
        <v>13</v>
      </c>
      <c r="K1063" s="11"/>
    </row>
    <row r="1064" spans="1:11" s="56" customFormat="1" ht="18" x14ac:dyDescent="0.25">
      <c r="A1064" s="51"/>
      <c r="B1064" s="52" t="s">
        <v>1442</v>
      </c>
      <c r="C1064" s="54"/>
      <c r="D1064" s="54"/>
      <c r="E1064" s="51"/>
      <c r="F1064" s="54"/>
      <c r="G1064" s="54"/>
      <c r="H1064" s="52" t="s">
        <v>1443</v>
      </c>
      <c r="I1064" s="54"/>
      <c r="J1064" s="12" t="s">
        <v>13</v>
      </c>
      <c r="K1064" s="54"/>
    </row>
    <row r="1065" spans="1:11" s="14" customFormat="1" ht="54" x14ac:dyDescent="0.25">
      <c r="A1065" s="21">
        <v>5044</v>
      </c>
      <c r="B1065" s="13" t="s">
        <v>1444</v>
      </c>
      <c r="C1065" s="53"/>
      <c r="D1065" s="11"/>
      <c r="E1065" s="36">
        <v>10</v>
      </c>
      <c r="F1065" s="11"/>
      <c r="G1065" s="55"/>
      <c r="H1065" s="11" t="s">
        <v>1445</v>
      </c>
      <c r="I1065" s="11"/>
      <c r="J1065" s="12" t="s">
        <v>13</v>
      </c>
      <c r="K1065" s="11"/>
    </row>
    <row r="1066" spans="1:11" s="14" customFormat="1" ht="36" x14ac:dyDescent="0.25">
      <c r="A1066" s="21">
        <v>5045</v>
      </c>
      <c r="B1066" s="13" t="s">
        <v>1446</v>
      </c>
      <c r="C1066" s="53"/>
      <c r="D1066" s="11"/>
      <c r="E1066" s="36">
        <v>15</v>
      </c>
      <c r="F1066" s="11"/>
      <c r="G1066" s="55"/>
      <c r="H1066" s="11" t="s">
        <v>1447</v>
      </c>
      <c r="I1066" s="11"/>
      <c r="J1066" s="12" t="s">
        <v>13</v>
      </c>
      <c r="K1066" s="11"/>
    </row>
    <row r="1067" spans="1:11" s="14" customFormat="1" ht="36" x14ac:dyDescent="0.25">
      <c r="A1067" s="21">
        <v>5050</v>
      </c>
      <c r="B1067" s="13" t="s">
        <v>1448</v>
      </c>
      <c r="C1067" s="11"/>
      <c r="D1067" s="11" t="s">
        <v>1393</v>
      </c>
      <c r="E1067" s="36">
        <v>2000</v>
      </c>
      <c r="F1067" s="11"/>
      <c r="G1067" s="11"/>
      <c r="H1067" s="11"/>
      <c r="I1067" s="11"/>
      <c r="J1067" s="12" t="s">
        <v>13</v>
      </c>
      <c r="K1067" s="13"/>
    </row>
    <row r="1068" spans="1:11" s="14" customFormat="1" ht="18" x14ac:dyDescent="0.25">
      <c r="A1068" s="57"/>
      <c r="B1068" s="58" t="s">
        <v>1449</v>
      </c>
      <c r="C1068" s="59"/>
      <c r="D1068" s="59"/>
      <c r="E1068" s="57"/>
      <c r="F1068" s="59"/>
      <c r="G1068" s="59"/>
      <c r="H1068" s="59"/>
      <c r="I1068" s="59"/>
      <c r="J1068" s="12" t="s">
        <v>13</v>
      </c>
      <c r="K1068" s="11"/>
    </row>
    <row r="1069" spans="1:11" s="63" customFormat="1" ht="57" customHeight="1" x14ac:dyDescent="0.25">
      <c r="A1069" s="36">
        <v>5051</v>
      </c>
      <c r="B1069" s="21" t="s">
        <v>1450</v>
      </c>
      <c r="C1069" s="60"/>
      <c r="D1069" s="61"/>
      <c r="E1069" s="103" t="s">
        <v>1451</v>
      </c>
      <c r="F1069" s="61"/>
      <c r="G1069" s="62" t="s">
        <v>13</v>
      </c>
      <c r="H1069" s="61" t="s">
        <v>1452</v>
      </c>
      <c r="I1069" s="61" t="s">
        <v>1453</v>
      </c>
      <c r="J1069" s="12" t="s">
        <v>13</v>
      </c>
      <c r="K1069" s="61"/>
    </row>
    <row r="1070" spans="1:11" s="14" customFormat="1" ht="18" x14ac:dyDescent="0.25">
      <c r="A1070" s="57"/>
      <c r="B1070" s="58" t="s">
        <v>1454</v>
      </c>
      <c r="C1070" s="59"/>
      <c r="D1070" s="59"/>
      <c r="E1070" s="57"/>
      <c r="F1070" s="59"/>
      <c r="G1070" s="64"/>
      <c r="H1070" s="59"/>
      <c r="I1070" s="59"/>
      <c r="J1070" s="12" t="s">
        <v>13</v>
      </c>
      <c r="K1070" s="11"/>
    </row>
    <row r="1071" spans="1:11" s="14" customFormat="1" ht="73.349999999999994" customHeight="1" x14ac:dyDescent="0.25">
      <c r="A1071" s="36">
        <v>5052</v>
      </c>
      <c r="B1071" s="13" t="s">
        <v>1455</v>
      </c>
      <c r="C1071" s="25"/>
      <c r="D1071" s="11"/>
      <c r="E1071" s="36">
        <v>2</v>
      </c>
      <c r="F1071" s="11"/>
      <c r="G1071" s="65" t="s">
        <v>13</v>
      </c>
      <c r="H1071" s="11" t="s">
        <v>1456</v>
      </c>
      <c r="I1071" s="13" t="s">
        <v>1457</v>
      </c>
      <c r="J1071" s="12" t="s">
        <v>13</v>
      </c>
      <c r="K1071" s="11"/>
    </row>
    <row r="1072" spans="1:11" s="14" customFormat="1" ht="54.6" customHeight="1" x14ac:dyDescent="0.25">
      <c r="A1072" s="36">
        <v>5053</v>
      </c>
      <c r="B1072" s="13" t="s">
        <v>1458</v>
      </c>
      <c r="C1072" s="25"/>
      <c r="D1072" s="11"/>
      <c r="E1072" s="36">
        <v>2</v>
      </c>
      <c r="F1072" s="11"/>
      <c r="G1072" s="65" t="s">
        <v>13</v>
      </c>
      <c r="H1072" s="11" t="s">
        <v>1459</v>
      </c>
      <c r="I1072" s="13" t="s">
        <v>1460</v>
      </c>
      <c r="J1072" s="12" t="s">
        <v>13</v>
      </c>
      <c r="K1072" s="11"/>
    </row>
    <row r="1073" spans="1:11" s="14" customFormat="1" ht="72" customHeight="1" x14ac:dyDescent="0.25">
      <c r="A1073" s="36">
        <v>5054</v>
      </c>
      <c r="B1073" s="13" t="s">
        <v>1461</v>
      </c>
      <c r="C1073" s="25"/>
      <c r="D1073" s="11"/>
      <c r="E1073" s="36">
        <v>2</v>
      </c>
      <c r="F1073" s="11"/>
      <c r="G1073" s="65" t="s">
        <v>13</v>
      </c>
      <c r="H1073" s="11" t="s">
        <v>1462</v>
      </c>
      <c r="I1073" s="13" t="s">
        <v>1463</v>
      </c>
      <c r="J1073" s="12" t="s">
        <v>13</v>
      </c>
      <c r="K1073" s="11"/>
    </row>
    <row r="1074" spans="1:11" s="14" customFormat="1" ht="18" x14ac:dyDescent="0.25">
      <c r="A1074" s="36"/>
      <c r="B1074" s="13"/>
      <c r="C1074" s="25"/>
      <c r="D1074" s="11"/>
      <c r="E1074" s="36"/>
      <c r="F1074" s="11"/>
      <c r="G1074" s="65"/>
      <c r="H1074" s="11"/>
      <c r="I1074" s="13"/>
      <c r="J1074" s="12" t="s">
        <v>13</v>
      </c>
      <c r="K1074" s="11"/>
    </row>
    <row r="1075" spans="1:11" s="14" customFormat="1" ht="18" x14ac:dyDescent="0.25">
      <c r="A1075" s="57"/>
      <c r="B1075" s="58" t="s">
        <v>1464</v>
      </c>
      <c r="C1075" s="59"/>
      <c r="D1075" s="59"/>
      <c r="E1075" s="57"/>
      <c r="F1075" s="59"/>
      <c r="G1075" s="59"/>
      <c r="H1075" s="59"/>
      <c r="I1075" s="59"/>
      <c r="J1075" s="12" t="s">
        <v>13</v>
      </c>
      <c r="K1075" s="11"/>
    </row>
    <row r="1076" spans="1:11" s="14" customFormat="1" ht="76.349999999999994" customHeight="1" x14ac:dyDescent="0.25">
      <c r="A1076" s="36">
        <v>5055</v>
      </c>
      <c r="B1076" s="13" t="s">
        <v>1465</v>
      </c>
      <c r="C1076" s="25"/>
      <c r="D1076" s="11"/>
      <c r="E1076" s="36">
        <v>2</v>
      </c>
      <c r="F1076" s="11"/>
      <c r="G1076" s="65" t="s">
        <v>13</v>
      </c>
      <c r="H1076" s="11" t="s">
        <v>1466</v>
      </c>
      <c r="I1076" s="11" t="s">
        <v>1467</v>
      </c>
      <c r="J1076" s="12" t="s">
        <v>13</v>
      </c>
      <c r="K1076" s="11"/>
    </row>
    <row r="1077" spans="1:11" s="63" customFormat="1" ht="75" customHeight="1" x14ac:dyDescent="0.25">
      <c r="A1077" s="36">
        <v>5056</v>
      </c>
      <c r="B1077" s="13" t="s">
        <v>1468</v>
      </c>
      <c r="C1077" s="60"/>
      <c r="D1077" s="61"/>
      <c r="E1077" s="103">
        <v>1</v>
      </c>
      <c r="F1077" s="61"/>
      <c r="G1077" s="62" t="s">
        <v>13</v>
      </c>
      <c r="H1077" s="61" t="s">
        <v>1469</v>
      </c>
      <c r="I1077" s="61" t="s">
        <v>1470</v>
      </c>
      <c r="J1077" s="12" t="s">
        <v>13</v>
      </c>
      <c r="K1077" s="61"/>
    </row>
    <row r="1078" spans="1:11" s="63" customFormat="1" ht="36.6" customHeight="1" x14ac:dyDescent="0.25">
      <c r="A1078" s="36">
        <v>5057</v>
      </c>
      <c r="B1078" s="13" t="s">
        <v>1471</v>
      </c>
      <c r="C1078" s="60"/>
      <c r="D1078" s="61"/>
      <c r="E1078" s="103">
        <v>1</v>
      </c>
      <c r="F1078" s="61"/>
      <c r="G1078" s="62" t="s">
        <v>13</v>
      </c>
      <c r="H1078" s="61" t="s">
        <v>1472</v>
      </c>
      <c r="I1078" s="61" t="s">
        <v>1473</v>
      </c>
      <c r="J1078" s="12" t="s">
        <v>13</v>
      </c>
      <c r="K1078" s="61"/>
    </row>
    <row r="1079" spans="1:11" s="63" customFormat="1" ht="36" x14ac:dyDescent="0.25">
      <c r="A1079" s="36">
        <v>5058</v>
      </c>
      <c r="B1079" s="13" t="s">
        <v>1474</v>
      </c>
      <c r="C1079" s="60"/>
      <c r="D1079" s="61"/>
      <c r="E1079" s="103">
        <v>1</v>
      </c>
      <c r="F1079" s="61"/>
      <c r="G1079" s="62" t="s">
        <v>13</v>
      </c>
      <c r="H1079" s="61" t="s">
        <v>1475</v>
      </c>
      <c r="I1079" s="61" t="s">
        <v>1476</v>
      </c>
      <c r="J1079" s="12" t="s">
        <v>13</v>
      </c>
      <c r="K1079" s="61"/>
    </row>
    <row r="1080" spans="1:11" s="14" customFormat="1" ht="90" customHeight="1" x14ac:dyDescent="0.25">
      <c r="A1080" s="36">
        <v>5059</v>
      </c>
      <c r="B1080" s="13" t="s">
        <v>1477</v>
      </c>
      <c r="C1080" s="25"/>
      <c r="D1080" s="11"/>
      <c r="E1080" s="103">
        <v>1</v>
      </c>
      <c r="F1080" s="11"/>
      <c r="G1080" s="65" t="s">
        <v>13</v>
      </c>
      <c r="H1080" s="11" t="s">
        <v>1478</v>
      </c>
      <c r="I1080" s="11" t="s">
        <v>1479</v>
      </c>
      <c r="J1080" s="12" t="s">
        <v>13</v>
      </c>
      <c r="K1080" s="11"/>
    </row>
    <row r="1081" spans="1:11" s="14" customFormat="1" ht="14.45" customHeight="1" x14ac:dyDescent="0.25">
      <c r="A1081" s="36"/>
      <c r="B1081" s="13"/>
      <c r="C1081" s="25"/>
      <c r="D1081" s="11"/>
      <c r="E1081" s="36"/>
      <c r="F1081" s="11"/>
      <c r="G1081" s="65"/>
      <c r="H1081" s="11"/>
      <c r="I1081" s="11"/>
      <c r="J1081" s="12" t="s">
        <v>13</v>
      </c>
      <c r="K1081" s="11"/>
    </row>
    <row r="1082" spans="1:11" s="14" customFormat="1" ht="18" x14ac:dyDescent="0.25">
      <c r="A1082" s="57"/>
      <c r="B1082" s="58" t="s">
        <v>1480</v>
      </c>
      <c r="C1082" s="59"/>
      <c r="D1082" s="59"/>
      <c r="E1082" s="57"/>
      <c r="F1082" s="59"/>
      <c r="G1082" s="59"/>
      <c r="H1082" s="59"/>
      <c r="I1082" s="59"/>
      <c r="J1082" s="12" t="s">
        <v>13</v>
      </c>
      <c r="K1082" s="11"/>
    </row>
    <row r="1083" spans="1:11" s="14" customFormat="1" ht="75.599999999999994" customHeight="1" x14ac:dyDescent="0.25">
      <c r="A1083" s="36">
        <v>5060</v>
      </c>
      <c r="B1083" s="13" t="s">
        <v>1481</v>
      </c>
      <c r="C1083" s="25"/>
      <c r="D1083" s="11"/>
      <c r="E1083" s="36">
        <v>3</v>
      </c>
      <c r="F1083" s="11"/>
      <c r="G1083" s="65" t="s">
        <v>13</v>
      </c>
      <c r="H1083" s="11" t="s">
        <v>1482</v>
      </c>
      <c r="I1083" s="11" t="s">
        <v>1483</v>
      </c>
      <c r="J1083" s="12" t="s">
        <v>13</v>
      </c>
      <c r="K1083" s="11"/>
    </row>
    <row r="1084" spans="1:11" s="14" customFormat="1" ht="76.349999999999994" customHeight="1" x14ac:dyDescent="0.25">
      <c r="A1084" s="36">
        <v>5061</v>
      </c>
      <c r="B1084" s="13" t="s">
        <v>1484</v>
      </c>
      <c r="C1084" s="25"/>
      <c r="D1084" s="11"/>
      <c r="E1084" s="36">
        <v>3</v>
      </c>
      <c r="F1084" s="11"/>
      <c r="G1084" s="65" t="s">
        <v>13</v>
      </c>
      <c r="H1084" s="11" t="s">
        <v>1485</v>
      </c>
      <c r="I1084" s="11" t="s">
        <v>1483</v>
      </c>
      <c r="J1084" s="12" t="s">
        <v>13</v>
      </c>
      <c r="K1084" s="11"/>
    </row>
    <row r="1085" spans="1:11" s="14" customFormat="1" ht="18" x14ac:dyDescent="0.25">
      <c r="A1085" s="36"/>
      <c r="B1085" s="13"/>
      <c r="C1085" s="25"/>
      <c r="D1085" s="11"/>
      <c r="E1085" s="36"/>
      <c r="F1085" s="11"/>
      <c r="G1085" s="65"/>
      <c r="H1085" s="11"/>
      <c r="I1085" s="11"/>
      <c r="J1085" s="12" t="s">
        <v>13</v>
      </c>
      <c r="K1085" s="11"/>
    </row>
    <row r="1086" spans="1:11" s="14" customFormat="1" ht="18" x14ac:dyDescent="0.25">
      <c r="A1086" s="57"/>
      <c r="B1086" s="58" t="s">
        <v>1486</v>
      </c>
      <c r="C1086" s="59"/>
      <c r="D1086" s="59"/>
      <c r="E1086" s="57"/>
      <c r="F1086" s="59"/>
      <c r="G1086" s="59"/>
      <c r="H1086" s="59"/>
      <c r="I1086" s="59"/>
      <c r="J1086" s="12" t="s">
        <v>13</v>
      </c>
      <c r="K1086" s="11"/>
    </row>
    <row r="1087" spans="1:11" s="14" customFormat="1" ht="75" customHeight="1" x14ac:dyDescent="0.25">
      <c r="A1087" s="36">
        <v>5062</v>
      </c>
      <c r="B1087" s="13" t="s">
        <v>1487</v>
      </c>
      <c r="C1087" s="25"/>
      <c r="D1087" s="11"/>
      <c r="E1087" s="36">
        <v>1</v>
      </c>
      <c r="F1087" s="11"/>
      <c r="G1087" s="65" t="s">
        <v>13</v>
      </c>
      <c r="H1087" s="11" t="s">
        <v>1488</v>
      </c>
      <c r="I1087" s="11" t="s">
        <v>1489</v>
      </c>
      <c r="J1087" s="12" t="s">
        <v>13</v>
      </c>
      <c r="K1087" s="11"/>
    </row>
    <row r="1088" spans="1:11" s="14" customFormat="1" ht="73.7" customHeight="1" x14ac:dyDescent="0.25">
      <c r="A1088" s="36">
        <v>5063</v>
      </c>
      <c r="B1088" s="13" t="s">
        <v>1490</v>
      </c>
      <c r="C1088" s="25"/>
      <c r="D1088" s="11"/>
      <c r="E1088" s="36">
        <v>1</v>
      </c>
      <c r="F1088" s="11"/>
      <c r="G1088" s="65" t="s">
        <v>13</v>
      </c>
      <c r="H1088" s="11" t="s">
        <v>1491</v>
      </c>
      <c r="I1088" s="11" t="s">
        <v>1492</v>
      </c>
      <c r="J1088" s="12" t="s">
        <v>13</v>
      </c>
      <c r="K1088" s="11"/>
    </row>
    <row r="1089" spans="1:11" s="14" customFormat="1" ht="56.45" customHeight="1" x14ac:dyDescent="0.25">
      <c r="A1089" s="36">
        <v>5064</v>
      </c>
      <c r="B1089" s="13" t="s">
        <v>1493</v>
      </c>
      <c r="C1089" s="25"/>
      <c r="D1089" s="11"/>
      <c r="E1089" s="36">
        <v>1</v>
      </c>
      <c r="F1089" s="11"/>
      <c r="G1089" s="65" t="s">
        <v>13</v>
      </c>
      <c r="H1089" s="11" t="s">
        <v>1494</v>
      </c>
      <c r="I1089" s="11" t="s">
        <v>1495</v>
      </c>
      <c r="J1089" s="12" t="s">
        <v>13</v>
      </c>
      <c r="K1089" s="11"/>
    </row>
    <row r="1090" spans="1:11" s="14" customFormat="1" ht="56.45" customHeight="1" x14ac:dyDescent="0.25">
      <c r="A1090" s="36">
        <v>5065</v>
      </c>
      <c r="B1090" s="13" t="s">
        <v>1496</v>
      </c>
      <c r="C1090" s="25"/>
      <c r="D1090" s="11"/>
      <c r="E1090" s="36">
        <v>1</v>
      </c>
      <c r="F1090" s="11"/>
      <c r="G1090" s="65" t="s">
        <v>13</v>
      </c>
      <c r="H1090" s="11" t="s">
        <v>1497</v>
      </c>
      <c r="I1090" s="11" t="s">
        <v>1495</v>
      </c>
      <c r="J1090" s="12" t="s">
        <v>13</v>
      </c>
      <c r="K1090" s="11"/>
    </row>
    <row r="1091" spans="1:11" s="14" customFormat="1" ht="39.6" customHeight="1" x14ac:dyDescent="0.25">
      <c r="A1091" s="36">
        <v>5066</v>
      </c>
      <c r="B1091" s="13" t="s">
        <v>1498</v>
      </c>
      <c r="C1091" s="25"/>
      <c r="D1091" s="11"/>
      <c r="E1091" s="36">
        <v>1</v>
      </c>
      <c r="F1091" s="11"/>
      <c r="G1091" s="65" t="s">
        <v>13</v>
      </c>
      <c r="H1091" s="11" t="s">
        <v>1499</v>
      </c>
      <c r="I1091" s="11" t="s">
        <v>1500</v>
      </c>
      <c r="J1091" s="12" t="s">
        <v>13</v>
      </c>
      <c r="K1091" s="11"/>
    </row>
    <row r="1092" spans="1:11" s="14" customFormat="1" ht="36" x14ac:dyDescent="0.25">
      <c r="A1092" s="36">
        <v>5067</v>
      </c>
      <c r="B1092" s="13" t="s">
        <v>1501</v>
      </c>
      <c r="C1092" s="25"/>
      <c r="D1092" s="11"/>
      <c r="E1092" s="36">
        <v>1</v>
      </c>
      <c r="F1092" s="11"/>
      <c r="G1092" s="65" t="s">
        <v>13</v>
      </c>
      <c r="H1092" s="11"/>
      <c r="I1092" s="11"/>
      <c r="J1092" s="12" t="s">
        <v>13</v>
      </c>
      <c r="K1092" s="11"/>
    </row>
    <row r="1093" spans="1:11" s="14" customFormat="1" ht="54" x14ac:dyDescent="0.25">
      <c r="A1093" s="36">
        <v>5068</v>
      </c>
      <c r="B1093" s="13" t="s">
        <v>1502</v>
      </c>
      <c r="C1093" s="25"/>
      <c r="D1093" s="11"/>
      <c r="E1093" s="36">
        <v>2</v>
      </c>
      <c r="F1093" s="11"/>
      <c r="G1093" s="65" t="s">
        <v>13</v>
      </c>
      <c r="H1093" s="11" t="s">
        <v>1503</v>
      </c>
      <c r="I1093" s="11" t="s">
        <v>1504</v>
      </c>
      <c r="J1093" s="12" t="s">
        <v>13</v>
      </c>
      <c r="K1093" s="11"/>
    </row>
    <row r="1094" spans="1:11" s="14" customFormat="1" ht="54.6" customHeight="1" x14ac:dyDescent="0.25">
      <c r="A1094" s="36">
        <v>5069</v>
      </c>
      <c r="B1094" s="13" t="s">
        <v>1505</v>
      </c>
      <c r="C1094" s="25"/>
      <c r="D1094" s="11"/>
      <c r="E1094" s="36">
        <v>2</v>
      </c>
      <c r="F1094" s="11"/>
      <c r="G1094" s="65" t="s">
        <v>13</v>
      </c>
      <c r="H1094" s="11" t="s">
        <v>1506</v>
      </c>
      <c r="I1094" s="11" t="s">
        <v>1506</v>
      </c>
      <c r="J1094" s="12" t="s">
        <v>13</v>
      </c>
      <c r="K1094" s="11"/>
    </row>
    <row r="1095" spans="1:11" s="14" customFormat="1" ht="72" customHeight="1" x14ac:dyDescent="0.25">
      <c r="A1095" s="36">
        <v>5070</v>
      </c>
      <c r="B1095" s="13" t="s">
        <v>1507</v>
      </c>
      <c r="C1095" s="25"/>
      <c r="D1095" s="11"/>
      <c r="E1095" s="36">
        <v>3</v>
      </c>
      <c r="F1095" s="11"/>
      <c r="G1095" s="65" t="s">
        <v>13</v>
      </c>
      <c r="H1095" s="11" t="s">
        <v>1508</v>
      </c>
      <c r="I1095" s="11" t="s">
        <v>1509</v>
      </c>
      <c r="J1095" s="12" t="s">
        <v>13</v>
      </c>
      <c r="K1095" s="11"/>
    </row>
    <row r="1096" spans="1:11" s="14" customFormat="1" ht="18" x14ac:dyDescent="0.25">
      <c r="A1096" s="36"/>
      <c r="B1096" s="13"/>
      <c r="C1096" s="25"/>
      <c r="D1096" s="11"/>
      <c r="E1096" s="36"/>
      <c r="F1096" s="11"/>
      <c r="G1096" s="65"/>
      <c r="H1096" s="11"/>
      <c r="I1096" s="11"/>
      <c r="J1096" s="12" t="s">
        <v>13</v>
      </c>
      <c r="K1096" s="11"/>
    </row>
    <row r="1097" spans="1:11" s="14" customFormat="1" ht="18" x14ac:dyDescent="0.25">
      <c r="A1097" s="57"/>
      <c r="B1097" s="58" t="s">
        <v>1510</v>
      </c>
      <c r="C1097" s="59"/>
      <c r="D1097" s="59"/>
      <c r="E1097" s="57"/>
      <c r="F1097" s="59"/>
      <c r="G1097" s="59"/>
      <c r="H1097" s="59"/>
      <c r="I1097" s="59"/>
      <c r="J1097" s="12" t="s">
        <v>13</v>
      </c>
      <c r="K1097" s="11"/>
    </row>
    <row r="1098" spans="1:11" s="14" customFormat="1" ht="54" x14ac:dyDescent="0.25">
      <c r="A1098" s="36">
        <v>5071</v>
      </c>
      <c r="B1098" s="13" t="s">
        <v>1511</v>
      </c>
      <c r="C1098" s="25"/>
      <c r="D1098" s="11"/>
      <c r="E1098" s="36">
        <v>1</v>
      </c>
      <c r="F1098" s="11"/>
      <c r="G1098" s="65" t="s">
        <v>13</v>
      </c>
      <c r="H1098" s="11" t="s">
        <v>1512</v>
      </c>
      <c r="I1098" s="11" t="s">
        <v>1513</v>
      </c>
      <c r="J1098" s="12" t="s">
        <v>13</v>
      </c>
      <c r="K1098" s="11"/>
    </row>
    <row r="1099" spans="1:11" s="14" customFormat="1" ht="271.35000000000002" customHeight="1" x14ac:dyDescent="0.25">
      <c r="A1099" s="36">
        <v>5072</v>
      </c>
      <c r="B1099" s="13" t="s">
        <v>1514</v>
      </c>
      <c r="C1099" s="25"/>
      <c r="D1099" s="11"/>
      <c r="E1099" s="36">
        <v>2</v>
      </c>
      <c r="F1099" s="11"/>
      <c r="G1099" s="65" t="s">
        <v>13</v>
      </c>
      <c r="H1099" s="11" t="s">
        <v>1515</v>
      </c>
      <c r="I1099" s="11" t="s">
        <v>1516</v>
      </c>
      <c r="J1099" s="12" t="s">
        <v>13</v>
      </c>
      <c r="K1099" s="11"/>
    </row>
    <row r="1100" spans="1:11" s="14" customFormat="1" ht="345" customHeight="1" x14ac:dyDescent="0.25">
      <c r="A1100" s="36"/>
      <c r="B1100" s="13" t="s">
        <v>1517</v>
      </c>
      <c r="C1100" s="25"/>
      <c r="D1100" s="11"/>
      <c r="E1100" s="36">
        <v>2</v>
      </c>
      <c r="F1100" s="11"/>
      <c r="G1100" s="65"/>
      <c r="H1100" s="11" t="s">
        <v>1518</v>
      </c>
      <c r="I1100" s="11" t="s">
        <v>1519</v>
      </c>
      <c r="J1100" s="12" t="s">
        <v>13</v>
      </c>
      <c r="K1100" s="11"/>
    </row>
    <row r="1101" spans="1:11" s="14" customFormat="1" ht="18" x14ac:dyDescent="0.25">
      <c r="A1101" s="36"/>
      <c r="B1101" s="13"/>
      <c r="C1101" s="25"/>
      <c r="D1101" s="11"/>
      <c r="E1101" s="36"/>
      <c r="F1101" s="11"/>
      <c r="G1101" s="65"/>
      <c r="H1101" s="11"/>
      <c r="I1101" s="11"/>
      <c r="J1101" s="12" t="s">
        <v>13</v>
      </c>
      <c r="K1101" s="11"/>
    </row>
    <row r="1102" spans="1:11" s="14" customFormat="1" ht="18" x14ac:dyDescent="0.25">
      <c r="A1102" s="57"/>
      <c r="B1102" s="58" t="s">
        <v>1520</v>
      </c>
      <c r="C1102" s="59"/>
      <c r="D1102" s="59"/>
      <c r="E1102" s="57"/>
      <c r="F1102" s="59"/>
      <c r="G1102" s="59"/>
      <c r="H1102" s="59"/>
      <c r="I1102" s="59"/>
      <c r="J1102" s="12" t="s">
        <v>13</v>
      </c>
      <c r="K1102" s="11"/>
    </row>
    <row r="1103" spans="1:11" s="14" customFormat="1" ht="60" customHeight="1" x14ac:dyDescent="0.25">
      <c r="A1103" s="36">
        <v>5073</v>
      </c>
      <c r="B1103" s="13" t="s">
        <v>1521</v>
      </c>
      <c r="C1103" s="25"/>
      <c r="D1103" s="11"/>
      <c r="E1103" s="36">
        <v>1</v>
      </c>
      <c r="F1103" s="11"/>
      <c r="G1103" s="65" t="s">
        <v>13</v>
      </c>
      <c r="H1103" s="11" t="s">
        <v>1522</v>
      </c>
      <c r="I1103" s="13" t="s">
        <v>1523</v>
      </c>
      <c r="J1103" s="12" t="s">
        <v>13</v>
      </c>
      <c r="K1103" s="11"/>
    </row>
    <row r="1104" spans="1:11" s="14" customFormat="1" ht="18" x14ac:dyDescent="0.25">
      <c r="A1104" s="36"/>
      <c r="B1104" s="13"/>
      <c r="C1104" s="25"/>
      <c r="D1104" s="11"/>
      <c r="E1104" s="36"/>
      <c r="F1104" s="11"/>
      <c r="G1104" s="65"/>
      <c r="H1104" s="11"/>
      <c r="I1104" s="11"/>
      <c r="J1104" s="12" t="s">
        <v>13</v>
      </c>
      <c r="K1104" s="11"/>
    </row>
    <row r="1105" spans="1:11" s="14" customFormat="1" ht="18" x14ac:dyDescent="0.25">
      <c r="A1105" s="57"/>
      <c r="B1105" s="58" t="s">
        <v>1524</v>
      </c>
      <c r="C1105" s="59"/>
      <c r="D1105" s="59"/>
      <c r="E1105" s="57"/>
      <c r="F1105" s="59"/>
      <c r="G1105" s="59"/>
      <c r="H1105" s="59"/>
      <c r="I1105" s="59"/>
      <c r="J1105" s="12" t="s">
        <v>13</v>
      </c>
      <c r="K1105" s="11"/>
    </row>
    <row r="1106" spans="1:11" s="14" customFormat="1" ht="54.6" customHeight="1" x14ac:dyDescent="0.25">
      <c r="A1106" s="36">
        <v>5074</v>
      </c>
      <c r="B1106" s="13" t="s">
        <v>1525</v>
      </c>
      <c r="C1106" s="25"/>
      <c r="D1106" s="11"/>
      <c r="E1106" s="36" t="s">
        <v>1451</v>
      </c>
      <c r="F1106" s="11"/>
      <c r="G1106" s="65" t="s">
        <v>13</v>
      </c>
      <c r="H1106" s="11" t="s">
        <v>1526</v>
      </c>
      <c r="I1106" s="11" t="s">
        <v>1527</v>
      </c>
      <c r="J1106" s="12" t="s">
        <v>13</v>
      </c>
      <c r="K1106" s="11"/>
    </row>
    <row r="1107" spans="1:11" s="14" customFormat="1" ht="60.6" customHeight="1" x14ac:dyDescent="0.25">
      <c r="A1107" s="36">
        <v>5075</v>
      </c>
      <c r="B1107" s="13" t="s">
        <v>1528</v>
      </c>
      <c r="C1107" s="25"/>
      <c r="D1107" s="11"/>
      <c r="E1107" s="36" t="s">
        <v>1451</v>
      </c>
      <c r="F1107" s="11"/>
      <c r="G1107" s="65" t="s">
        <v>13</v>
      </c>
      <c r="H1107" s="11" t="s">
        <v>1529</v>
      </c>
      <c r="I1107" s="11" t="s">
        <v>1527</v>
      </c>
      <c r="J1107" s="12" t="s">
        <v>13</v>
      </c>
      <c r="K1107" s="11"/>
    </row>
    <row r="1108" spans="1:11" s="63" customFormat="1" ht="115.35" customHeight="1" x14ac:dyDescent="0.25">
      <c r="A1108" s="36">
        <v>5076</v>
      </c>
      <c r="B1108" s="13" t="s">
        <v>1530</v>
      </c>
      <c r="C1108" s="60"/>
      <c r="D1108" s="61"/>
      <c r="E1108" s="103">
        <v>2</v>
      </c>
      <c r="F1108" s="61"/>
      <c r="G1108" s="62" t="s">
        <v>13</v>
      </c>
      <c r="H1108" s="61" t="s">
        <v>1531</v>
      </c>
      <c r="I1108" s="61" t="s">
        <v>1532</v>
      </c>
      <c r="J1108" s="12" t="s">
        <v>13</v>
      </c>
      <c r="K1108" s="61"/>
    </row>
    <row r="1109" spans="1:11" s="14" customFormat="1" ht="18" x14ac:dyDescent="0.25">
      <c r="A1109" s="36"/>
      <c r="B1109" s="13"/>
      <c r="C1109" s="11"/>
      <c r="D1109" s="11"/>
      <c r="E1109" s="36"/>
      <c r="F1109" s="11"/>
      <c r="G1109" s="11"/>
      <c r="H1109" s="11"/>
      <c r="I1109" s="11"/>
      <c r="J1109" s="12" t="s">
        <v>13</v>
      </c>
      <c r="K1109" s="11"/>
    </row>
    <row r="1110" spans="1:11" s="14" customFormat="1" ht="18" x14ac:dyDescent="0.25">
      <c r="A1110" s="36"/>
      <c r="B1110" s="13"/>
      <c r="C1110" s="11"/>
      <c r="D1110" s="11"/>
      <c r="E1110" s="36"/>
      <c r="F1110" s="11"/>
      <c r="G1110" s="11"/>
      <c r="H1110" s="11"/>
      <c r="I1110" s="11"/>
      <c r="J1110" s="12" t="s">
        <v>13</v>
      </c>
      <c r="K1110" s="11"/>
    </row>
    <row r="1111" spans="1:11" s="63" customFormat="1" ht="54" x14ac:dyDescent="0.25">
      <c r="A1111" s="36">
        <v>5077</v>
      </c>
      <c r="B1111" s="13" t="s">
        <v>1533</v>
      </c>
      <c r="C1111" s="60"/>
      <c r="D1111" s="61"/>
      <c r="E1111" s="103">
        <v>2</v>
      </c>
      <c r="F1111" s="61"/>
      <c r="G1111" s="62"/>
      <c r="H1111" s="61" t="s">
        <v>1534</v>
      </c>
      <c r="I1111" s="61" t="s">
        <v>1535</v>
      </c>
      <c r="J1111" s="12" t="s">
        <v>13</v>
      </c>
      <c r="K1111" s="61"/>
    </row>
    <row r="1112" spans="1:11" s="63" customFormat="1" ht="72" x14ac:dyDescent="0.25">
      <c r="A1112" s="36">
        <v>5078</v>
      </c>
      <c r="B1112" s="13" t="s">
        <v>1536</v>
      </c>
      <c r="C1112" s="60"/>
      <c r="D1112" s="61"/>
      <c r="E1112" s="103">
        <v>2</v>
      </c>
      <c r="F1112" s="61"/>
      <c r="G1112" s="62" t="s">
        <v>13</v>
      </c>
      <c r="H1112" s="61" t="s">
        <v>1537</v>
      </c>
      <c r="I1112" s="61" t="s">
        <v>1538</v>
      </c>
      <c r="J1112" s="12" t="s">
        <v>13</v>
      </c>
      <c r="K1112" s="61"/>
    </row>
    <row r="1113" spans="1:11" s="14" customFormat="1" ht="36" x14ac:dyDescent="0.25">
      <c r="A1113" s="36">
        <v>5079</v>
      </c>
      <c r="B1113" s="13" t="s">
        <v>1539</v>
      </c>
      <c r="C1113" s="25"/>
      <c r="D1113" s="11"/>
      <c r="E1113" s="36">
        <v>2</v>
      </c>
      <c r="F1113" s="11"/>
      <c r="G1113" s="65" t="s">
        <v>13</v>
      </c>
      <c r="H1113" s="11" t="s">
        <v>1540</v>
      </c>
      <c r="I1113" s="11" t="s">
        <v>1541</v>
      </c>
      <c r="J1113" s="12" t="s">
        <v>13</v>
      </c>
      <c r="K1113" s="11"/>
    </row>
    <row r="1114" spans="1:11" s="14" customFormat="1" ht="36" x14ac:dyDescent="0.25">
      <c r="A1114" s="36">
        <v>5080</v>
      </c>
      <c r="B1114" s="13" t="s">
        <v>1542</v>
      </c>
      <c r="C1114" s="25"/>
      <c r="D1114" s="11"/>
      <c r="E1114" s="36">
        <v>2</v>
      </c>
      <c r="F1114" s="11"/>
      <c r="G1114" s="65" t="s">
        <v>13</v>
      </c>
      <c r="H1114" s="11" t="s">
        <v>1543</v>
      </c>
      <c r="I1114" s="11" t="s">
        <v>1541</v>
      </c>
      <c r="J1114" s="12" t="s">
        <v>13</v>
      </c>
      <c r="K1114" s="11"/>
    </row>
    <row r="1115" spans="1:11" s="14" customFormat="1" ht="90" x14ac:dyDescent="0.25">
      <c r="A1115" s="36">
        <v>5081</v>
      </c>
      <c r="B1115" s="13" t="s">
        <v>1544</v>
      </c>
      <c r="C1115" s="25"/>
      <c r="D1115" s="11"/>
      <c r="E1115" s="36">
        <v>2</v>
      </c>
      <c r="F1115" s="11"/>
      <c r="G1115" s="65" t="s">
        <v>13</v>
      </c>
      <c r="H1115" s="11" t="s">
        <v>1545</v>
      </c>
      <c r="I1115" s="13" t="s">
        <v>1546</v>
      </c>
      <c r="J1115" s="12" t="s">
        <v>13</v>
      </c>
      <c r="K1115" s="11"/>
    </row>
    <row r="1116" spans="1:11" s="68" customFormat="1" ht="90" x14ac:dyDescent="0.25">
      <c r="A1116" s="36">
        <v>5082</v>
      </c>
      <c r="B1116" s="13" t="s">
        <v>1547</v>
      </c>
      <c r="C1116" s="66"/>
      <c r="D1116" s="67"/>
      <c r="E1116" s="36">
        <v>2</v>
      </c>
      <c r="F1116" s="67"/>
      <c r="G1116" s="65" t="s">
        <v>13</v>
      </c>
      <c r="H1116" s="11" t="s">
        <v>1548</v>
      </c>
      <c r="I1116" s="13" t="s">
        <v>1546</v>
      </c>
      <c r="J1116" s="12" t="s">
        <v>13</v>
      </c>
      <c r="K1116" s="67"/>
    </row>
    <row r="1117" spans="1:11" s="14" customFormat="1" ht="36" x14ac:dyDescent="0.25">
      <c r="A1117" s="36">
        <v>5083</v>
      </c>
      <c r="B1117" s="13" t="s">
        <v>1549</v>
      </c>
      <c r="C1117" s="25"/>
      <c r="D1117" s="11"/>
      <c r="E1117" s="36" t="s">
        <v>1451</v>
      </c>
      <c r="F1117" s="11"/>
      <c r="G1117" s="65" t="s">
        <v>13</v>
      </c>
      <c r="H1117" s="11" t="s">
        <v>1550</v>
      </c>
      <c r="I1117" s="11" t="s">
        <v>1551</v>
      </c>
      <c r="J1117" s="12" t="s">
        <v>13</v>
      </c>
      <c r="K1117" s="11"/>
    </row>
    <row r="1118" spans="1:11" s="14" customFormat="1" ht="36" x14ac:dyDescent="0.25">
      <c r="A1118" s="36">
        <v>5084</v>
      </c>
      <c r="B1118" s="13" t="s">
        <v>1552</v>
      </c>
      <c r="C1118" s="25"/>
      <c r="D1118" s="11"/>
      <c r="E1118" s="36" t="s">
        <v>1451</v>
      </c>
      <c r="F1118" s="11"/>
      <c r="G1118" s="65" t="s">
        <v>13</v>
      </c>
      <c r="H1118" s="11" t="s">
        <v>1553</v>
      </c>
      <c r="I1118" s="11" t="s">
        <v>1551</v>
      </c>
      <c r="J1118" s="12" t="s">
        <v>13</v>
      </c>
      <c r="K1118" s="11"/>
    </row>
    <row r="1119" spans="1:11" s="14" customFormat="1" ht="113.45" customHeight="1" x14ac:dyDescent="0.25">
      <c r="A1119" s="36">
        <v>5085</v>
      </c>
      <c r="B1119" s="13" t="s">
        <v>1554</v>
      </c>
      <c r="C1119" s="25"/>
      <c r="D1119" s="11"/>
      <c r="E1119" s="36" t="s">
        <v>1451</v>
      </c>
      <c r="F1119" s="11"/>
      <c r="G1119" s="65" t="s">
        <v>13</v>
      </c>
      <c r="H1119" s="11" t="s">
        <v>1555</v>
      </c>
      <c r="I1119" s="11" t="s">
        <v>1556</v>
      </c>
      <c r="J1119" s="12" t="s">
        <v>13</v>
      </c>
      <c r="K1119" s="11"/>
    </row>
    <row r="1120" spans="1:11" s="14" customFormat="1" ht="36" x14ac:dyDescent="0.25">
      <c r="A1120" s="36">
        <v>5086</v>
      </c>
      <c r="B1120" s="13" t="s">
        <v>1557</v>
      </c>
      <c r="C1120" s="25"/>
      <c r="D1120" s="11"/>
      <c r="E1120" s="36" t="s">
        <v>1451</v>
      </c>
      <c r="F1120" s="11"/>
      <c r="G1120" s="65" t="s">
        <v>13</v>
      </c>
      <c r="H1120" s="11" t="s">
        <v>1558</v>
      </c>
      <c r="I1120" s="11" t="s">
        <v>1559</v>
      </c>
      <c r="J1120" s="12" t="s">
        <v>13</v>
      </c>
      <c r="K1120" s="11"/>
    </row>
    <row r="1121" spans="1:11" s="14" customFormat="1" ht="36" x14ac:dyDescent="0.25">
      <c r="A1121" s="36">
        <v>5087</v>
      </c>
      <c r="B1121" s="13" t="s">
        <v>1560</v>
      </c>
      <c r="C1121" s="25"/>
      <c r="D1121" s="11"/>
      <c r="E1121" s="36" t="s">
        <v>1451</v>
      </c>
      <c r="F1121" s="11"/>
      <c r="G1121" s="65" t="s">
        <v>13</v>
      </c>
      <c r="H1121" s="11" t="s">
        <v>1561</v>
      </c>
      <c r="I1121" s="11" t="s">
        <v>1562</v>
      </c>
      <c r="J1121" s="12" t="s">
        <v>13</v>
      </c>
      <c r="K1121" s="11"/>
    </row>
    <row r="1122" spans="1:11" s="63" customFormat="1" ht="54" x14ac:dyDescent="0.25">
      <c r="A1122" s="36">
        <v>5088</v>
      </c>
      <c r="B1122" s="13" t="s">
        <v>1563</v>
      </c>
      <c r="C1122" s="60"/>
      <c r="D1122" s="61"/>
      <c r="E1122" s="103">
        <v>2</v>
      </c>
      <c r="F1122" s="61"/>
      <c r="G1122" s="62" t="s">
        <v>13</v>
      </c>
      <c r="H1122" s="61" t="s">
        <v>1564</v>
      </c>
      <c r="I1122" s="61" t="s">
        <v>1565</v>
      </c>
      <c r="J1122" s="12" t="s">
        <v>13</v>
      </c>
      <c r="K1122" s="61"/>
    </row>
    <row r="1123" spans="1:11" s="14" customFormat="1" ht="54" x14ac:dyDescent="0.25">
      <c r="A1123" s="36">
        <v>5089</v>
      </c>
      <c r="B1123" s="13" t="s">
        <v>1566</v>
      </c>
      <c r="C1123" s="25"/>
      <c r="D1123" s="11"/>
      <c r="E1123" s="36">
        <v>1</v>
      </c>
      <c r="F1123" s="11"/>
      <c r="G1123" s="65" t="s">
        <v>13</v>
      </c>
      <c r="H1123" s="11" t="s">
        <v>1567</v>
      </c>
      <c r="I1123" s="11" t="s">
        <v>1567</v>
      </c>
      <c r="J1123" s="12" t="s">
        <v>13</v>
      </c>
      <c r="K1123" s="11"/>
    </row>
    <row r="1124" spans="1:11" s="14" customFormat="1" ht="36" x14ac:dyDescent="0.25">
      <c r="A1124" s="36">
        <v>5090</v>
      </c>
      <c r="B1124" s="13" t="s">
        <v>1568</v>
      </c>
      <c r="C1124" s="25"/>
      <c r="D1124" s="11"/>
      <c r="E1124" s="36">
        <v>1</v>
      </c>
      <c r="F1124" s="11"/>
      <c r="G1124" s="65" t="s">
        <v>13</v>
      </c>
      <c r="H1124" s="11" t="s">
        <v>1569</v>
      </c>
      <c r="I1124" s="11" t="s">
        <v>1570</v>
      </c>
      <c r="J1124" s="12" t="s">
        <v>13</v>
      </c>
      <c r="K1124" s="11"/>
    </row>
    <row r="1125" spans="1:11" s="14" customFormat="1" ht="54" x14ac:dyDescent="0.25">
      <c r="A1125" s="36">
        <v>5091</v>
      </c>
      <c r="B1125" s="13" t="s">
        <v>1571</v>
      </c>
      <c r="C1125" s="25"/>
      <c r="D1125" s="11"/>
      <c r="E1125" s="36" t="s">
        <v>1451</v>
      </c>
      <c r="F1125" s="11"/>
      <c r="G1125" s="65" t="s">
        <v>13</v>
      </c>
      <c r="H1125" s="11" t="s">
        <v>1572</v>
      </c>
      <c r="I1125" s="11" t="s">
        <v>1573</v>
      </c>
      <c r="J1125" s="12" t="s">
        <v>13</v>
      </c>
      <c r="K1125" s="11"/>
    </row>
    <row r="1126" spans="1:11" s="14" customFormat="1" ht="54" x14ac:dyDescent="0.25">
      <c r="A1126" s="36">
        <v>5092</v>
      </c>
      <c r="B1126" s="13" t="s">
        <v>1574</v>
      </c>
      <c r="C1126" s="25"/>
      <c r="D1126" s="11"/>
      <c r="E1126" s="36" t="s">
        <v>1451</v>
      </c>
      <c r="F1126" s="11"/>
      <c r="G1126" s="65" t="s">
        <v>13</v>
      </c>
      <c r="H1126" s="11" t="s">
        <v>1575</v>
      </c>
      <c r="I1126" s="11" t="s">
        <v>1576</v>
      </c>
      <c r="J1126" s="12" t="s">
        <v>13</v>
      </c>
      <c r="K1126" s="11"/>
    </row>
    <row r="1127" spans="1:11" s="63" customFormat="1" ht="72" x14ac:dyDescent="0.25">
      <c r="A1127" s="36">
        <v>5093</v>
      </c>
      <c r="B1127" s="13" t="s">
        <v>1577</v>
      </c>
      <c r="C1127" s="60"/>
      <c r="D1127" s="61"/>
      <c r="E1127" s="103">
        <v>2</v>
      </c>
      <c r="F1127" s="61"/>
      <c r="G1127" s="62" t="s">
        <v>13</v>
      </c>
      <c r="H1127" s="61" t="s">
        <v>1578</v>
      </c>
      <c r="I1127" s="61" t="s">
        <v>1579</v>
      </c>
      <c r="J1127" s="12" t="s">
        <v>13</v>
      </c>
      <c r="K1127" s="61"/>
    </row>
    <row r="1128" spans="1:11" s="14" customFormat="1" ht="36" x14ac:dyDescent="0.25">
      <c r="A1128" s="36">
        <v>5094</v>
      </c>
      <c r="B1128" s="13" t="s">
        <v>1580</v>
      </c>
      <c r="C1128" s="25"/>
      <c r="D1128" s="11"/>
      <c r="E1128" s="36" t="s">
        <v>1451</v>
      </c>
      <c r="F1128" s="11"/>
      <c r="G1128" s="65" t="s">
        <v>13</v>
      </c>
      <c r="H1128" s="11" t="s">
        <v>1581</v>
      </c>
      <c r="I1128" s="11" t="s">
        <v>1582</v>
      </c>
      <c r="J1128" s="12" t="s">
        <v>13</v>
      </c>
      <c r="K1128" s="11"/>
    </row>
    <row r="1129" spans="1:11" s="14" customFormat="1" ht="36" x14ac:dyDescent="0.25">
      <c r="A1129" s="36">
        <v>5095</v>
      </c>
      <c r="B1129" s="13" t="s">
        <v>1583</v>
      </c>
      <c r="C1129" s="25"/>
      <c r="D1129" s="11"/>
      <c r="E1129" s="36" t="s">
        <v>1451</v>
      </c>
      <c r="F1129" s="11"/>
      <c r="G1129" s="65" t="s">
        <v>13</v>
      </c>
      <c r="H1129" s="11" t="s">
        <v>1584</v>
      </c>
      <c r="I1129" s="11" t="s">
        <v>1585</v>
      </c>
      <c r="J1129" s="12" t="s">
        <v>13</v>
      </c>
      <c r="K1129" s="11"/>
    </row>
    <row r="1130" spans="1:11" s="14" customFormat="1" ht="36" x14ac:dyDescent="0.25">
      <c r="A1130" s="36">
        <v>5096</v>
      </c>
      <c r="B1130" s="13" t="s">
        <v>1586</v>
      </c>
      <c r="C1130" s="25"/>
      <c r="D1130" s="11"/>
      <c r="E1130" s="36" t="s">
        <v>1451</v>
      </c>
      <c r="F1130" s="11"/>
      <c r="G1130" s="65" t="s">
        <v>13</v>
      </c>
      <c r="H1130" s="11" t="s">
        <v>1587</v>
      </c>
      <c r="I1130" s="11" t="s">
        <v>1588</v>
      </c>
      <c r="J1130" s="12" t="s">
        <v>13</v>
      </c>
      <c r="K1130" s="11"/>
    </row>
    <row r="1131" spans="1:11" s="14" customFormat="1" ht="165" customHeight="1" x14ac:dyDescent="0.25">
      <c r="A1131" s="36">
        <v>5097</v>
      </c>
      <c r="B1131" s="13" t="s">
        <v>1589</v>
      </c>
      <c r="C1131" s="25"/>
      <c r="D1131" s="11"/>
      <c r="E1131" s="36">
        <v>48</v>
      </c>
      <c r="F1131" s="11"/>
      <c r="G1131" s="65" t="s">
        <v>13</v>
      </c>
      <c r="H1131" s="11" t="s">
        <v>1590</v>
      </c>
      <c r="I1131" s="13" t="s">
        <v>1591</v>
      </c>
      <c r="J1131" s="12" t="s">
        <v>13</v>
      </c>
      <c r="K1131" s="11"/>
    </row>
    <row r="1132" spans="1:11" s="14" customFormat="1" ht="144" x14ac:dyDescent="0.25">
      <c r="A1132" s="36">
        <v>5098</v>
      </c>
      <c r="B1132" s="13" t="s">
        <v>1592</v>
      </c>
      <c r="C1132" s="25"/>
      <c r="D1132" s="11"/>
      <c r="E1132" s="36">
        <v>2</v>
      </c>
      <c r="F1132" s="11"/>
      <c r="G1132" s="65"/>
      <c r="H1132" s="11" t="s">
        <v>1593</v>
      </c>
      <c r="I1132" s="13" t="s">
        <v>1594</v>
      </c>
      <c r="J1132" s="12" t="s">
        <v>13</v>
      </c>
      <c r="K1132" s="11"/>
    </row>
    <row r="1133" spans="1:11" s="14" customFormat="1" ht="161.44999999999999" customHeight="1" x14ac:dyDescent="0.25">
      <c r="A1133" s="36">
        <v>5099</v>
      </c>
      <c r="B1133" s="13" t="s">
        <v>1595</v>
      </c>
      <c r="C1133" s="25"/>
      <c r="D1133" s="11"/>
      <c r="E1133" s="36">
        <v>2</v>
      </c>
      <c r="F1133" s="11"/>
      <c r="G1133" s="65" t="s">
        <v>13</v>
      </c>
      <c r="H1133" s="11" t="s">
        <v>1596</v>
      </c>
      <c r="I1133" s="13" t="s">
        <v>1594</v>
      </c>
      <c r="J1133" s="12" t="s">
        <v>13</v>
      </c>
      <c r="K1133" s="11"/>
    </row>
    <row r="1134" spans="1:11" s="14" customFormat="1" ht="171.6" customHeight="1" x14ac:dyDescent="0.25">
      <c r="A1134" s="36">
        <v>5100</v>
      </c>
      <c r="B1134" s="13" t="s">
        <v>1597</v>
      </c>
      <c r="C1134" s="25"/>
      <c r="D1134" s="11"/>
      <c r="E1134" s="36">
        <v>8</v>
      </c>
      <c r="F1134" s="11"/>
      <c r="G1134" s="65" t="s">
        <v>13</v>
      </c>
      <c r="H1134" s="11" t="s">
        <v>1598</v>
      </c>
      <c r="I1134" s="13" t="s">
        <v>1591</v>
      </c>
      <c r="J1134" s="12" t="s">
        <v>13</v>
      </c>
      <c r="K1134" s="11"/>
    </row>
    <row r="1135" spans="1:11" s="14" customFormat="1" ht="39.6" customHeight="1" x14ac:dyDescent="0.25">
      <c r="A1135" s="36">
        <v>5101</v>
      </c>
      <c r="B1135" s="13" t="s">
        <v>1599</v>
      </c>
      <c r="C1135" s="25"/>
      <c r="D1135" s="11"/>
      <c r="E1135" s="36" t="s">
        <v>1451</v>
      </c>
      <c r="F1135" s="11"/>
      <c r="G1135" s="65" t="s">
        <v>13</v>
      </c>
      <c r="H1135" s="11"/>
      <c r="I1135" s="11"/>
      <c r="J1135" s="12" t="s">
        <v>13</v>
      </c>
      <c r="K1135" s="11"/>
    </row>
    <row r="1136" spans="1:11" s="14" customFormat="1" ht="36" x14ac:dyDescent="0.25">
      <c r="A1136" s="36">
        <v>5102</v>
      </c>
      <c r="B1136" s="13" t="s">
        <v>1600</v>
      </c>
      <c r="C1136" s="25"/>
      <c r="D1136" s="11"/>
      <c r="E1136" s="36" t="s">
        <v>1451</v>
      </c>
      <c r="F1136" s="11"/>
      <c r="G1136" s="65" t="s">
        <v>13</v>
      </c>
      <c r="H1136" s="11" t="s">
        <v>1601</v>
      </c>
      <c r="I1136" s="11" t="s">
        <v>1602</v>
      </c>
      <c r="J1136" s="12" t="s">
        <v>13</v>
      </c>
      <c r="K1136" s="11"/>
    </row>
    <row r="1137" spans="1:11" s="14" customFormat="1" ht="36" x14ac:dyDescent="0.25">
      <c r="A1137" s="36">
        <v>5103</v>
      </c>
      <c r="B1137" s="13" t="s">
        <v>1603</v>
      </c>
      <c r="C1137" s="25"/>
      <c r="D1137" s="11"/>
      <c r="E1137" s="36" t="s">
        <v>1451</v>
      </c>
      <c r="F1137" s="11"/>
      <c r="G1137" s="65" t="s">
        <v>13</v>
      </c>
      <c r="H1137" s="11" t="s">
        <v>1604</v>
      </c>
      <c r="I1137" s="11" t="s">
        <v>1605</v>
      </c>
      <c r="J1137" s="12" t="s">
        <v>13</v>
      </c>
      <c r="K1137" s="11"/>
    </row>
    <row r="1138" spans="1:11" s="14" customFormat="1" ht="97.35" customHeight="1" x14ac:dyDescent="0.25">
      <c r="A1138" s="36">
        <v>5104</v>
      </c>
      <c r="B1138" s="13" t="s">
        <v>1606</v>
      </c>
      <c r="C1138" s="25"/>
      <c r="D1138" s="11"/>
      <c r="E1138" s="36" t="s">
        <v>1451</v>
      </c>
      <c r="F1138" s="11"/>
      <c r="G1138" s="65" t="s">
        <v>13</v>
      </c>
      <c r="H1138" s="11" t="s">
        <v>1607</v>
      </c>
      <c r="I1138" s="11" t="s">
        <v>1608</v>
      </c>
      <c r="J1138" s="12" t="s">
        <v>13</v>
      </c>
      <c r="K1138" s="11"/>
    </row>
    <row r="1139" spans="1:11" s="14" customFormat="1" ht="37.35" customHeight="1" x14ac:dyDescent="0.25">
      <c r="A1139" s="36">
        <v>5105</v>
      </c>
      <c r="B1139" s="13" t="s">
        <v>1609</v>
      </c>
      <c r="C1139" s="25"/>
      <c r="D1139" s="11"/>
      <c r="E1139" s="36" t="s">
        <v>1451</v>
      </c>
      <c r="F1139" s="11"/>
      <c r="G1139" s="65" t="s">
        <v>13</v>
      </c>
      <c r="H1139" s="11" t="s">
        <v>1610</v>
      </c>
      <c r="I1139" s="11" t="s">
        <v>1611</v>
      </c>
      <c r="J1139" s="12" t="s">
        <v>13</v>
      </c>
      <c r="K1139" s="11"/>
    </row>
    <row r="1140" spans="1:11" s="14" customFormat="1" ht="108" x14ac:dyDescent="0.25">
      <c r="A1140" s="36">
        <v>5106</v>
      </c>
      <c r="B1140" s="13" t="s">
        <v>1612</v>
      </c>
      <c r="C1140" s="25"/>
      <c r="D1140" s="11"/>
      <c r="E1140" s="36">
        <v>6</v>
      </c>
      <c r="F1140" s="11"/>
      <c r="G1140" s="65" t="s">
        <v>13</v>
      </c>
      <c r="H1140" s="11" t="s">
        <v>359</v>
      </c>
      <c r="I1140" s="11" t="s">
        <v>1613</v>
      </c>
      <c r="J1140" s="12" t="s">
        <v>13</v>
      </c>
      <c r="K1140" s="11"/>
    </row>
    <row r="1141" spans="1:11" s="14" customFormat="1" ht="118.35" customHeight="1" x14ac:dyDescent="0.25">
      <c r="A1141" s="36">
        <v>5107</v>
      </c>
      <c r="B1141" s="13" t="s">
        <v>1614</v>
      </c>
      <c r="C1141" s="25"/>
      <c r="D1141" s="11"/>
      <c r="E1141" s="36">
        <v>4</v>
      </c>
      <c r="F1141" s="11"/>
      <c r="G1141" s="65" t="s">
        <v>13</v>
      </c>
      <c r="H1141" s="11" t="s">
        <v>1615</v>
      </c>
      <c r="I1141" s="13" t="s">
        <v>1616</v>
      </c>
      <c r="J1141" s="12" t="s">
        <v>13</v>
      </c>
      <c r="K1141" s="11"/>
    </row>
    <row r="1142" spans="1:11" s="14" customFormat="1" ht="90" x14ac:dyDescent="0.25">
      <c r="A1142" s="36">
        <v>5108</v>
      </c>
      <c r="B1142" s="13" t="s">
        <v>1617</v>
      </c>
      <c r="C1142" s="25"/>
      <c r="D1142" s="11"/>
      <c r="E1142" s="36">
        <v>4</v>
      </c>
      <c r="F1142" s="11"/>
      <c r="G1142" s="65" t="s">
        <v>13</v>
      </c>
      <c r="H1142" s="11" t="s">
        <v>1618</v>
      </c>
      <c r="I1142" s="13" t="s">
        <v>1619</v>
      </c>
      <c r="J1142" s="12" t="s">
        <v>13</v>
      </c>
      <c r="K1142" s="11"/>
    </row>
    <row r="1143" spans="1:11" s="14" customFormat="1" ht="54" x14ac:dyDescent="0.25">
      <c r="A1143" s="36">
        <v>5109</v>
      </c>
      <c r="B1143" s="13" t="s">
        <v>1620</v>
      </c>
      <c r="C1143" s="25"/>
      <c r="D1143" s="11"/>
      <c r="E1143" s="36" t="s">
        <v>1451</v>
      </c>
      <c r="F1143" s="11"/>
      <c r="G1143" s="65" t="s">
        <v>13</v>
      </c>
      <c r="H1143" s="11" t="s">
        <v>1621</v>
      </c>
      <c r="I1143" s="11" t="s">
        <v>1622</v>
      </c>
      <c r="J1143" s="12" t="s">
        <v>13</v>
      </c>
      <c r="K1143" s="11"/>
    </row>
    <row r="1144" spans="1:11" s="14" customFormat="1" ht="59.45" customHeight="1" x14ac:dyDescent="0.25">
      <c r="A1144" s="36">
        <v>5110</v>
      </c>
      <c r="B1144" s="13" t="s">
        <v>1623</v>
      </c>
      <c r="C1144" s="25"/>
      <c r="D1144" s="11"/>
      <c r="E1144" s="36">
        <v>3</v>
      </c>
      <c r="F1144" s="11"/>
      <c r="G1144" s="65" t="s">
        <v>13</v>
      </c>
      <c r="H1144" s="11" t="s">
        <v>1624</v>
      </c>
      <c r="I1144" s="11" t="s">
        <v>1625</v>
      </c>
      <c r="J1144" s="12" t="s">
        <v>13</v>
      </c>
      <c r="K1144" s="11"/>
    </row>
    <row r="1145" spans="1:11" s="14" customFormat="1" ht="54" x14ac:dyDescent="0.25">
      <c r="A1145" s="36">
        <v>5111</v>
      </c>
      <c r="B1145" s="13" t="s">
        <v>1626</v>
      </c>
      <c r="C1145" s="25"/>
      <c r="D1145" s="11"/>
      <c r="E1145" s="36">
        <v>4</v>
      </c>
      <c r="F1145" s="11"/>
      <c r="G1145" s="65" t="s">
        <v>13</v>
      </c>
      <c r="H1145" s="11" t="s">
        <v>1627</v>
      </c>
      <c r="I1145" s="11" t="s">
        <v>1628</v>
      </c>
      <c r="J1145" s="12" t="s">
        <v>13</v>
      </c>
      <c r="K1145" s="11"/>
    </row>
    <row r="1146" spans="1:11" s="14" customFormat="1" ht="90" x14ac:dyDescent="0.25">
      <c r="A1146" s="36">
        <v>5112</v>
      </c>
      <c r="B1146" s="13" t="s">
        <v>1629</v>
      </c>
      <c r="C1146" s="25"/>
      <c r="D1146" s="11"/>
      <c r="E1146" s="36">
        <v>6</v>
      </c>
      <c r="F1146" s="11"/>
      <c r="G1146" s="65" t="s">
        <v>13</v>
      </c>
      <c r="H1146" s="11" t="s">
        <v>1630</v>
      </c>
      <c r="I1146" s="13" t="s">
        <v>1631</v>
      </c>
      <c r="J1146" s="12" t="s">
        <v>13</v>
      </c>
      <c r="K1146" s="11"/>
    </row>
    <row r="1147" spans="1:11" s="14" customFormat="1" ht="90" x14ac:dyDescent="0.25">
      <c r="A1147" s="36">
        <v>5113</v>
      </c>
      <c r="B1147" s="13" t="s">
        <v>1632</v>
      </c>
      <c r="C1147" s="25"/>
      <c r="D1147" s="11"/>
      <c r="E1147" s="36">
        <v>6</v>
      </c>
      <c r="F1147" s="11"/>
      <c r="G1147" s="65" t="s">
        <v>13</v>
      </c>
      <c r="H1147" s="11" t="s">
        <v>1633</v>
      </c>
      <c r="I1147" s="13" t="s">
        <v>1631</v>
      </c>
      <c r="J1147" s="12" t="s">
        <v>13</v>
      </c>
      <c r="K1147" s="11"/>
    </row>
    <row r="1148" spans="1:11" s="14" customFormat="1" ht="57" customHeight="1" x14ac:dyDescent="0.25">
      <c r="A1148" s="36">
        <v>5114</v>
      </c>
      <c r="B1148" s="13" t="s">
        <v>1634</v>
      </c>
      <c r="C1148" s="25"/>
      <c r="D1148" s="11"/>
      <c r="E1148" s="36" t="s">
        <v>1451</v>
      </c>
      <c r="F1148" s="11"/>
      <c r="G1148" s="65" t="s">
        <v>13</v>
      </c>
      <c r="H1148" s="11" t="s">
        <v>1635</v>
      </c>
      <c r="I1148" s="13" t="s">
        <v>1636</v>
      </c>
      <c r="J1148" s="12" t="s">
        <v>13</v>
      </c>
      <c r="K1148" s="11"/>
    </row>
    <row r="1149" spans="1:11" s="14" customFormat="1" ht="110.45" customHeight="1" x14ac:dyDescent="0.25">
      <c r="A1149" s="36">
        <v>5115</v>
      </c>
      <c r="B1149" s="13" t="s">
        <v>1637</v>
      </c>
      <c r="C1149" s="25"/>
      <c r="D1149" s="11"/>
      <c r="E1149" s="36" t="s">
        <v>1451</v>
      </c>
      <c r="F1149" s="11"/>
      <c r="G1149" s="65" t="s">
        <v>13</v>
      </c>
      <c r="H1149" s="11" t="s">
        <v>1638</v>
      </c>
      <c r="I1149" s="11" t="s">
        <v>1639</v>
      </c>
      <c r="J1149" s="12" t="s">
        <v>13</v>
      </c>
      <c r="K1149" s="11"/>
    </row>
    <row r="1150" spans="1:11" s="14" customFormat="1" ht="108" x14ac:dyDescent="0.25">
      <c r="A1150" s="36">
        <v>5116</v>
      </c>
      <c r="B1150" s="13" t="s">
        <v>1640</v>
      </c>
      <c r="C1150" s="25"/>
      <c r="D1150" s="11"/>
      <c r="E1150" s="36" t="s">
        <v>1451</v>
      </c>
      <c r="F1150" s="11"/>
      <c r="G1150" s="65" t="s">
        <v>13</v>
      </c>
      <c r="H1150" s="11" t="s">
        <v>1641</v>
      </c>
      <c r="I1150" s="11" t="s">
        <v>1642</v>
      </c>
      <c r="J1150" s="12" t="s">
        <v>13</v>
      </c>
      <c r="K1150" s="11"/>
    </row>
    <row r="1151" spans="1:11" s="14" customFormat="1" ht="91.35" customHeight="1" x14ac:dyDescent="0.25">
      <c r="A1151" s="36">
        <v>5117</v>
      </c>
      <c r="B1151" s="13" t="s">
        <v>1643</v>
      </c>
      <c r="C1151" s="25"/>
      <c r="D1151" s="11"/>
      <c r="E1151" s="36" t="s">
        <v>1451</v>
      </c>
      <c r="F1151" s="11"/>
      <c r="G1151" s="65" t="s">
        <v>13</v>
      </c>
      <c r="H1151" s="11" t="s">
        <v>1644</v>
      </c>
      <c r="I1151" s="11" t="s">
        <v>1645</v>
      </c>
      <c r="J1151" s="12" t="s">
        <v>13</v>
      </c>
      <c r="K1151" s="11"/>
    </row>
    <row r="1152" spans="1:11" s="14" customFormat="1" ht="94.7" customHeight="1" x14ac:dyDescent="0.25">
      <c r="A1152" s="36">
        <v>5118</v>
      </c>
      <c r="B1152" s="13" t="s">
        <v>1646</v>
      </c>
      <c r="C1152" s="25"/>
      <c r="D1152" s="11"/>
      <c r="E1152" s="36" t="s">
        <v>1451</v>
      </c>
      <c r="F1152" s="11"/>
      <c r="G1152" s="65" t="s">
        <v>13</v>
      </c>
      <c r="H1152" s="11" t="s">
        <v>1647</v>
      </c>
      <c r="I1152" s="11" t="s">
        <v>1648</v>
      </c>
      <c r="J1152" s="12" t="s">
        <v>13</v>
      </c>
      <c r="K1152" s="11"/>
    </row>
    <row r="1153" spans="1:11" s="14" customFormat="1" ht="96.6" customHeight="1" x14ac:dyDescent="0.25">
      <c r="A1153" s="36">
        <v>5119</v>
      </c>
      <c r="B1153" s="13" t="s">
        <v>1649</v>
      </c>
      <c r="C1153" s="25"/>
      <c r="D1153" s="11"/>
      <c r="E1153" s="36" t="s">
        <v>1451</v>
      </c>
      <c r="F1153" s="11"/>
      <c r="G1153" s="65" t="s">
        <v>13</v>
      </c>
      <c r="H1153" s="11" t="s">
        <v>1650</v>
      </c>
      <c r="I1153" s="11" t="s">
        <v>1645</v>
      </c>
      <c r="J1153" s="12" t="s">
        <v>13</v>
      </c>
      <c r="K1153" s="11"/>
    </row>
    <row r="1154" spans="1:11" s="14" customFormat="1" ht="54" x14ac:dyDescent="0.25">
      <c r="A1154" s="36">
        <v>5120</v>
      </c>
      <c r="B1154" s="13" t="s">
        <v>1651</v>
      </c>
      <c r="C1154" s="25"/>
      <c r="D1154" s="11"/>
      <c r="E1154" s="36" t="s">
        <v>1451</v>
      </c>
      <c r="F1154" s="11"/>
      <c r="G1154" s="65" t="s">
        <v>13</v>
      </c>
      <c r="H1154" s="11" t="s">
        <v>1652</v>
      </c>
      <c r="I1154" s="11" t="s">
        <v>1653</v>
      </c>
      <c r="J1154" s="12" t="s">
        <v>13</v>
      </c>
      <c r="K1154" s="11"/>
    </row>
    <row r="1155" spans="1:11" s="14" customFormat="1" ht="72" x14ac:dyDescent="0.25">
      <c r="A1155" s="36">
        <v>5121</v>
      </c>
      <c r="B1155" s="13" t="s">
        <v>1654</v>
      </c>
      <c r="C1155" s="25"/>
      <c r="D1155" s="11"/>
      <c r="E1155" s="36">
        <v>6</v>
      </c>
      <c r="F1155" s="11"/>
      <c r="G1155" s="65" t="s">
        <v>13</v>
      </c>
      <c r="H1155" s="11" t="s">
        <v>1655</v>
      </c>
      <c r="I1155" s="11" t="s">
        <v>1655</v>
      </c>
      <c r="J1155" s="12" t="s">
        <v>13</v>
      </c>
      <c r="K1155" s="11"/>
    </row>
    <row r="1156" spans="1:11" s="14" customFormat="1" ht="90" x14ac:dyDescent="0.25">
      <c r="A1156" s="36">
        <v>5122</v>
      </c>
      <c r="B1156" s="13" t="s">
        <v>1656</v>
      </c>
      <c r="C1156" s="25"/>
      <c r="D1156" s="11"/>
      <c r="E1156" s="36">
        <v>6</v>
      </c>
      <c r="F1156" s="11"/>
      <c r="G1156" s="65" t="s">
        <v>13</v>
      </c>
      <c r="H1156" s="11" t="s">
        <v>1657</v>
      </c>
      <c r="I1156" s="13" t="s">
        <v>1658</v>
      </c>
      <c r="J1156" s="12" t="s">
        <v>13</v>
      </c>
      <c r="K1156" s="11"/>
    </row>
    <row r="1157" spans="1:11" s="14" customFormat="1" ht="54" x14ac:dyDescent="0.25">
      <c r="A1157" s="36">
        <v>5123</v>
      </c>
      <c r="B1157" s="13" t="s">
        <v>1659</v>
      </c>
      <c r="C1157" s="25"/>
      <c r="D1157" s="11"/>
      <c r="E1157" s="36" t="s">
        <v>1451</v>
      </c>
      <c r="F1157" s="11"/>
      <c r="G1157" s="65" t="s">
        <v>13</v>
      </c>
      <c r="H1157" s="11" t="s">
        <v>1660</v>
      </c>
      <c r="I1157" s="13" t="s">
        <v>1661</v>
      </c>
      <c r="J1157" s="12" t="s">
        <v>13</v>
      </c>
      <c r="K1157" s="11"/>
    </row>
    <row r="1158" spans="1:11" s="14" customFormat="1" ht="90" x14ac:dyDescent="0.25">
      <c r="A1158" s="36">
        <v>5124</v>
      </c>
      <c r="B1158" s="13" t="s">
        <v>1662</v>
      </c>
      <c r="C1158" s="25"/>
      <c r="D1158" s="11"/>
      <c r="E1158" s="36">
        <v>2</v>
      </c>
      <c r="F1158" s="11"/>
      <c r="G1158" s="65" t="s">
        <v>13</v>
      </c>
      <c r="H1158" s="11" t="s">
        <v>1663</v>
      </c>
      <c r="I1158" s="13" t="s">
        <v>1664</v>
      </c>
      <c r="J1158" s="12" t="s">
        <v>13</v>
      </c>
      <c r="K1158" s="11"/>
    </row>
    <row r="1159" spans="1:11" s="14" customFormat="1" ht="108" x14ac:dyDescent="0.25">
      <c r="A1159" s="36">
        <v>5125</v>
      </c>
      <c r="B1159" s="13" t="s">
        <v>1665</v>
      </c>
      <c r="C1159" s="25"/>
      <c r="D1159" s="11"/>
      <c r="E1159" s="36">
        <v>2</v>
      </c>
      <c r="F1159" s="11"/>
      <c r="G1159" s="65" t="s">
        <v>13</v>
      </c>
      <c r="H1159" s="11" t="s">
        <v>1666</v>
      </c>
      <c r="I1159" s="13" t="s">
        <v>1667</v>
      </c>
      <c r="J1159" s="12" t="s">
        <v>13</v>
      </c>
      <c r="K1159" s="11"/>
    </row>
    <row r="1160" spans="1:11" s="14" customFormat="1" ht="90" x14ac:dyDescent="0.25">
      <c r="A1160" s="36">
        <v>5126</v>
      </c>
      <c r="B1160" s="13" t="s">
        <v>1668</v>
      </c>
      <c r="C1160" s="25"/>
      <c r="D1160" s="11"/>
      <c r="E1160" s="36">
        <v>2</v>
      </c>
      <c r="F1160" s="11"/>
      <c r="G1160" s="65" t="s">
        <v>13</v>
      </c>
      <c r="H1160" s="11" t="s">
        <v>1669</v>
      </c>
      <c r="I1160" s="13" t="s">
        <v>1670</v>
      </c>
      <c r="J1160" s="12" t="s">
        <v>13</v>
      </c>
      <c r="K1160" s="11"/>
    </row>
    <row r="1161" spans="1:11" s="14" customFormat="1" ht="108" x14ac:dyDescent="0.25">
      <c r="A1161" s="36">
        <v>5127</v>
      </c>
      <c r="B1161" s="13" t="s">
        <v>1671</v>
      </c>
      <c r="C1161" s="25"/>
      <c r="D1161" s="11"/>
      <c r="E1161" s="36">
        <v>2</v>
      </c>
      <c r="F1161" s="11"/>
      <c r="G1161" s="65" t="s">
        <v>13</v>
      </c>
      <c r="H1161" s="11" t="s">
        <v>1672</v>
      </c>
      <c r="I1161" s="13" t="s">
        <v>1673</v>
      </c>
      <c r="J1161" s="12" t="s">
        <v>13</v>
      </c>
      <c r="K1161" s="11"/>
    </row>
    <row r="1162" spans="1:11" s="14" customFormat="1" ht="54" x14ac:dyDescent="0.25">
      <c r="A1162" s="36">
        <v>5128</v>
      </c>
      <c r="B1162" s="13" t="s">
        <v>1674</v>
      </c>
      <c r="C1162" s="25"/>
      <c r="D1162" s="11"/>
      <c r="E1162" s="36">
        <v>3</v>
      </c>
      <c r="F1162" s="11"/>
      <c r="G1162" s="65" t="s">
        <v>13</v>
      </c>
      <c r="H1162" s="11" t="s">
        <v>1675</v>
      </c>
      <c r="I1162" s="11" t="s">
        <v>1676</v>
      </c>
      <c r="J1162" s="12" t="s">
        <v>13</v>
      </c>
      <c r="K1162" s="11"/>
    </row>
    <row r="1163" spans="1:11" s="14" customFormat="1" ht="90" x14ac:dyDescent="0.25">
      <c r="A1163" s="36">
        <v>5129</v>
      </c>
      <c r="B1163" s="13" t="s">
        <v>1677</v>
      </c>
      <c r="C1163" s="25"/>
      <c r="D1163" s="11"/>
      <c r="E1163" s="36">
        <v>4</v>
      </c>
      <c r="F1163" s="11"/>
      <c r="G1163" s="65" t="s">
        <v>13</v>
      </c>
      <c r="H1163" s="11" t="s">
        <v>1678</v>
      </c>
      <c r="I1163" s="11" t="s">
        <v>1679</v>
      </c>
      <c r="J1163" s="12" t="s">
        <v>13</v>
      </c>
      <c r="K1163" s="11"/>
    </row>
    <row r="1164" spans="1:11" s="14" customFormat="1" ht="54" x14ac:dyDescent="0.25">
      <c r="A1164" s="36">
        <v>5130</v>
      </c>
      <c r="B1164" s="13" t="s">
        <v>1680</v>
      </c>
      <c r="C1164" s="25"/>
      <c r="D1164" s="11"/>
      <c r="E1164" s="36" t="s">
        <v>1451</v>
      </c>
      <c r="F1164" s="11"/>
      <c r="G1164" s="65" t="s">
        <v>13</v>
      </c>
      <c r="H1164" s="11" t="s">
        <v>1681</v>
      </c>
      <c r="I1164" s="11" t="s">
        <v>1682</v>
      </c>
      <c r="J1164" s="12" t="s">
        <v>13</v>
      </c>
      <c r="K1164" s="11"/>
    </row>
    <row r="1165" spans="1:11" s="14" customFormat="1" ht="108" x14ac:dyDescent="0.25">
      <c r="A1165" s="36">
        <v>5131</v>
      </c>
      <c r="B1165" s="13" t="s">
        <v>1683</v>
      </c>
      <c r="C1165" s="25"/>
      <c r="D1165" s="11"/>
      <c r="E1165" s="36" t="s">
        <v>1451</v>
      </c>
      <c r="F1165" s="11"/>
      <c r="G1165" s="65" t="s">
        <v>13</v>
      </c>
      <c r="H1165" s="11" t="s">
        <v>1684</v>
      </c>
      <c r="I1165" s="11" t="s">
        <v>1685</v>
      </c>
      <c r="J1165" s="12" t="s">
        <v>13</v>
      </c>
      <c r="K1165" s="11"/>
    </row>
    <row r="1166" spans="1:11" s="14" customFormat="1" ht="90" x14ac:dyDescent="0.25">
      <c r="A1166" s="36">
        <v>5132</v>
      </c>
      <c r="B1166" s="13" t="s">
        <v>1686</v>
      </c>
      <c r="C1166" s="25"/>
      <c r="D1166" s="11"/>
      <c r="E1166" s="36">
        <v>4</v>
      </c>
      <c r="F1166" s="11"/>
      <c r="G1166" s="65" t="s">
        <v>13</v>
      </c>
      <c r="H1166" s="11" t="s">
        <v>1687</v>
      </c>
      <c r="I1166" s="11" t="s">
        <v>1688</v>
      </c>
      <c r="J1166" s="12" t="s">
        <v>13</v>
      </c>
      <c r="K1166" s="11"/>
    </row>
    <row r="1167" spans="1:11" s="14" customFormat="1" ht="36" x14ac:dyDescent="0.25">
      <c r="A1167" s="36">
        <v>5133</v>
      </c>
      <c r="B1167" s="13" t="s">
        <v>1689</v>
      </c>
      <c r="C1167" s="25"/>
      <c r="D1167" s="11"/>
      <c r="E1167" s="36" t="s">
        <v>1451</v>
      </c>
      <c r="F1167" s="11"/>
      <c r="G1167" s="65" t="s">
        <v>13</v>
      </c>
      <c r="H1167" s="11" t="s">
        <v>1690</v>
      </c>
      <c r="I1167" s="11" t="s">
        <v>1691</v>
      </c>
      <c r="J1167" s="12" t="s">
        <v>13</v>
      </c>
      <c r="K1167" s="11"/>
    </row>
    <row r="1168" spans="1:11" s="14" customFormat="1" ht="90" x14ac:dyDescent="0.25">
      <c r="A1168" s="36">
        <v>5134</v>
      </c>
      <c r="B1168" s="13" t="s">
        <v>1692</v>
      </c>
      <c r="C1168" s="25"/>
      <c r="D1168" s="11"/>
      <c r="E1168" s="36">
        <v>4</v>
      </c>
      <c r="F1168" s="11"/>
      <c r="G1168" s="65" t="s">
        <v>13</v>
      </c>
      <c r="H1168" s="11" t="s">
        <v>1693</v>
      </c>
      <c r="I1168" s="11" t="s">
        <v>1694</v>
      </c>
      <c r="J1168" s="12" t="s">
        <v>13</v>
      </c>
      <c r="K1168" s="11"/>
    </row>
    <row r="1169" spans="1:11" s="14" customFormat="1" ht="36" x14ac:dyDescent="0.25">
      <c r="A1169" s="36">
        <v>5135</v>
      </c>
      <c r="B1169" s="13" t="s">
        <v>1695</v>
      </c>
      <c r="C1169" s="25"/>
      <c r="D1169" s="11"/>
      <c r="E1169" s="36">
        <v>6</v>
      </c>
      <c r="F1169" s="11"/>
      <c r="G1169" s="65" t="s">
        <v>13</v>
      </c>
      <c r="H1169" s="11" t="s">
        <v>1696</v>
      </c>
      <c r="I1169" s="11" t="s">
        <v>1697</v>
      </c>
      <c r="J1169" s="12" t="s">
        <v>13</v>
      </c>
      <c r="K1169" s="11"/>
    </row>
    <row r="1170" spans="1:11" s="14" customFormat="1" ht="36" x14ac:dyDescent="0.25">
      <c r="A1170" s="36">
        <v>5136</v>
      </c>
      <c r="B1170" s="13" t="s">
        <v>1698</v>
      </c>
      <c r="C1170" s="25"/>
      <c r="D1170" s="11"/>
      <c r="E1170" s="36" t="s">
        <v>1451</v>
      </c>
      <c r="F1170" s="11"/>
      <c r="G1170" s="65" t="s">
        <v>13</v>
      </c>
      <c r="H1170" s="11" t="s">
        <v>1699</v>
      </c>
      <c r="I1170" s="11" t="s">
        <v>1700</v>
      </c>
      <c r="J1170" s="12" t="s">
        <v>13</v>
      </c>
      <c r="K1170" s="11"/>
    </row>
    <row r="1171" spans="1:11" s="14" customFormat="1" ht="72" x14ac:dyDescent="0.25">
      <c r="A1171" s="36">
        <v>5137</v>
      </c>
      <c r="B1171" s="13" t="s">
        <v>1701</v>
      </c>
      <c r="C1171" s="25"/>
      <c r="D1171" s="11"/>
      <c r="E1171" s="36" t="s">
        <v>1451</v>
      </c>
      <c r="F1171" s="11"/>
      <c r="G1171" s="65" t="s">
        <v>13</v>
      </c>
      <c r="H1171" s="11" t="s">
        <v>1702</v>
      </c>
      <c r="I1171" s="11" t="s">
        <v>1703</v>
      </c>
      <c r="J1171" s="12" t="s">
        <v>13</v>
      </c>
      <c r="K1171" s="11"/>
    </row>
    <row r="1172" spans="1:11" s="14" customFormat="1" ht="36" x14ac:dyDescent="0.25">
      <c r="A1172" s="36">
        <v>5138</v>
      </c>
      <c r="B1172" s="13" t="s">
        <v>1704</v>
      </c>
      <c r="C1172" s="25"/>
      <c r="D1172" s="11"/>
      <c r="E1172" s="36" t="s">
        <v>1451</v>
      </c>
      <c r="F1172" s="11"/>
      <c r="G1172" s="65" t="s">
        <v>13</v>
      </c>
      <c r="H1172" s="11" t="s">
        <v>1705</v>
      </c>
      <c r="I1172" s="11" t="s">
        <v>1706</v>
      </c>
      <c r="J1172" s="12" t="s">
        <v>13</v>
      </c>
      <c r="K1172" s="11"/>
    </row>
    <row r="1173" spans="1:11" s="14" customFormat="1" ht="72" x14ac:dyDescent="0.25">
      <c r="A1173" s="36">
        <v>5139</v>
      </c>
      <c r="B1173" s="13" t="s">
        <v>1707</v>
      </c>
      <c r="C1173" s="25"/>
      <c r="D1173" s="11"/>
      <c r="E1173" s="36" t="s">
        <v>1451</v>
      </c>
      <c r="F1173" s="11"/>
      <c r="G1173" s="65" t="s">
        <v>13</v>
      </c>
      <c r="H1173" s="11" t="s">
        <v>1708</v>
      </c>
      <c r="I1173" s="11" t="s">
        <v>1709</v>
      </c>
      <c r="J1173" s="12" t="s">
        <v>13</v>
      </c>
      <c r="K1173" s="11"/>
    </row>
    <row r="1174" spans="1:11" s="14" customFormat="1" ht="72" x14ac:dyDescent="0.25">
      <c r="A1174" s="36">
        <v>5140</v>
      </c>
      <c r="B1174" s="13" t="s">
        <v>1710</v>
      </c>
      <c r="C1174" s="25"/>
      <c r="D1174" s="11"/>
      <c r="E1174" s="36">
        <v>2</v>
      </c>
      <c r="F1174" s="11"/>
      <c r="G1174" s="65" t="s">
        <v>13</v>
      </c>
      <c r="H1174" s="11" t="s">
        <v>1711</v>
      </c>
      <c r="I1174" s="11" t="s">
        <v>1712</v>
      </c>
      <c r="J1174" s="12" t="s">
        <v>13</v>
      </c>
      <c r="K1174" s="11"/>
    </row>
    <row r="1175" spans="1:11" s="14" customFormat="1" ht="90" x14ac:dyDescent="0.25">
      <c r="A1175" s="36">
        <v>5141</v>
      </c>
      <c r="B1175" s="13" t="s">
        <v>1713</v>
      </c>
      <c r="C1175" s="25"/>
      <c r="D1175" s="11"/>
      <c r="E1175" s="36">
        <v>3</v>
      </c>
      <c r="F1175" s="11"/>
      <c r="G1175" s="65" t="s">
        <v>13</v>
      </c>
      <c r="H1175" s="11" t="s">
        <v>1714</v>
      </c>
      <c r="I1175" s="13" t="s">
        <v>1715</v>
      </c>
      <c r="J1175" s="12" t="s">
        <v>13</v>
      </c>
      <c r="K1175" s="11"/>
    </row>
    <row r="1176" spans="1:11" s="14" customFormat="1" ht="54" x14ac:dyDescent="0.25">
      <c r="A1176" s="36">
        <v>5142</v>
      </c>
      <c r="B1176" s="13" t="s">
        <v>1716</v>
      </c>
      <c r="C1176" s="25"/>
      <c r="D1176" s="11"/>
      <c r="E1176" s="36">
        <v>2</v>
      </c>
      <c r="F1176" s="11"/>
      <c r="G1176" s="65" t="s">
        <v>13</v>
      </c>
      <c r="H1176" s="11" t="s">
        <v>1717</v>
      </c>
      <c r="I1176" s="13" t="s">
        <v>1718</v>
      </c>
      <c r="J1176" s="12" t="s">
        <v>13</v>
      </c>
      <c r="K1176" s="11"/>
    </row>
    <row r="1177" spans="1:11" s="14" customFormat="1" ht="54" x14ac:dyDescent="0.25">
      <c r="A1177" s="36">
        <v>5143</v>
      </c>
      <c r="B1177" s="13" t="s">
        <v>1719</v>
      </c>
      <c r="C1177" s="25"/>
      <c r="D1177" s="11"/>
      <c r="E1177" s="36">
        <v>2</v>
      </c>
      <c r="F1177" s="11"/>
      <c r="G1177" s="65" t="s">
        <v>13</v>
      </c>
      <c r="H1177" s="11" t="s">
        <v>1720</v>
      </c>
      <c r="I1177" s="13" t="s">
        <v>1721</v>
      </c>
      <c r="J1177" s="12" t="s">
        <v>13</v>
      </c>
      <c r="K1177" s="11"/>
    </row>
    <row r="1178" spans="1:11" s="14" customFormat="1" ht="108" x14ac:dyDescent="0.25">
      <c r="A1178" s="36">
        <v>5144</v>
      </c>
      <c r="B1178" s="13" t="s">
        <v>1722</v>
      </c>
      <c r="C1178" s="25"/>
      <c r="D1178" s="11"/>
      <c r="E1178" s="36">
        <v>4</v>
      </c>
      <c r="F1178" s="11"/>
      <c r="G1178" s="65" t="s">
        <v>13</v>
      </c>
      <c r="H1178" s="11" t="s">
        <v>1723</v>
      </c>
      <c r="I1178" s="11" t="s">
        <v>1724</v>
      </c>
      <c r="J1178" s="12" t="s">
        <v>13</v>
      </c>
      <c r="K1178" s="11"/>
    </row>
    <row r="1179" spans="1:11" s="14" customFormat="1" ht="108" x14ac:dyDescent="0.25">
      <c r="A1179" s="36">
        <v>5145</v>
      </c>
      <c r="B1179" s="13" t="s">
        <v>1725</v>
      </c>
      <c r="C1179" s="25"/>
      <c r="D1179" s="11"/>
      <c r="E1179" s="36">
        <v>4</v>
      </c>
      <c r="F1179" s="11"/>
      <c r="G1179" s="65" t="s">
        <v>13</v>
      </c>
      <c r="H1179" s="11" t="s">
        <v>1726</v>
      </c>
      <c r="I1179" s="13" t="s">
        <v>1727</v>
      </c>
      <c r="J1179" s="12" t="s">
        <v>13</v>
      </c>
      <c r="K1179" s="11"/>
    </row>
    <row r="1180" spans="1:11" s="14" customFormat="1" ht="72" x14ac:dyDescent="0.25">
      <c r="A1180" s="36">
        <v>5146</v>
      </c>
      <c r="B1180" s="13" t="s">
        <v>1728</v>
      </c>
      <c r="C1180" s="25"/>
      <c r="D1180" s="11"/>
      <c r="E1180" s="36" t="s">
        <v>1451</v>
      </c>
      <c r="F1180" s="11"/>
      <c r="G1180" s="65" t="s">
        <v>13</v>
      </c>
      <c r="H1180" s="11" t="s">
        <v>1729</v>
      </c>
      <c r="I1180" s="11" t="s">
        <v>1730</v>
      </c>
      <c r="J1180" s="12" t="s">
        <v>13</v>
      </c>
      <c r="K1180" s="11"/>
    </row>
    <row r="1181" spans="1:11" s="14" customFormat="1" ht="72" x14ac:dyDescent="0.25">
      <c r="A1181" s="36">
        <v>5147</v>
      </c>
      <c r="B1181" s="13" t="s">
        <v>1731</v>
      </c>
      <c r="C1181" s="25"/>
      <c r="D1181" s="11"/>
      <c r="E1181" s="36" t="s">
        <v>1451</v>
      </c>
      <c r="F1181" s="11"/>
      <c r="G1181" s="65" t="s">
        <v>13</v>
      </c>
      <c r="H1181" s="11" t="s">
        <v>1732</v>
      </c>
      <c r="I1181" s="11" t="s">
        <v>1733</v>
      </c>
      <c r="J1181" s="12" t="s">
        <v>13</v>
      </c>
      <c r="K1181" s="11"/>
    </row>
    <row r="1182" spans="1:11" s="14" customFormat="1" ht="72" x14ac:dyDescent="0.25">
      <c r="A1182" s="36">
        <v>5148</v>
      </c>
      <c r="B1182" s="13" t="s">
        <v>1734</v>
      </c>
      <c r="C1182" s="25"/>
      <c r="D1182" s="11"/>
      <c r="E1182" s="36" t="s">
        <v>1451</v>
      </c>
      <c r="F1182" s="11"/>
      <c r="G1182" s="65" t="s">
        <v>13</v>
      </c>
      <c r="H1182" s="11" t="s">
        <v>1735</v>
      </c>
      <c r="I1182" s="11" t="s">
        <v>1736</v>
      </c>
      <c r="J1182" s="12" t="s">
        <v>13</v>
      </c>
      <c r="K1182" s="11"/>
    </row>
    <row r="1183" spans="1:11" s="14" customFormat="1" ht="72" x14ac:dyDescent="0.25">
      <c r="A1183" s="36">
        <v>5149</v>
      </c>
      <c r="B1183" s="13" t="s">
        <v>1737</v>
      </c>
      <c r="C1183" s="25"/>
      <c r="D1183" s="11"/>
      <c r="E1183" s="36" t="s">
        <v>1451</v>
      </c>
      <c r="F1183" s="11"/>
      <c r="G1183" s="65" t="s">
        <v>13</v>
      </c>
      <c r="H1183" s="11" t="s">
        <v>1738</v>
      </c>
      <c r="I1183" s="11" t="s">
        <v>1739</v>
      </c>
      <c r="J1183" s="12" t="s">
        <v>13</v>
      </c>
      <c r="K1183" s="11"/>
    </row>
    <row r="1184" spans="1:11" s="14" customFormat="1" ht="72" x14ac:dyDescent="0.25">
      <c r="A1184" s="36">
        <v>5150</v>
      </c>
      <c r="B1184" s="13" t="s">
        <v>1740</v>
      </c>
      <c r="C1184" s="25"/>
      <c r="D1184" s="11"/>
      <c r="E1184" s="36" t="s">
        <v>1451</v>
      </c>
      <c r="F1184" s="11"/>
      <c r="G1184" s="65" t="s">
        <v>13</v>
      </c>
      <c r="H1184" s="11" t="s">
        <v>1741</v>
      </c>
      <c r="I1184" s="11" t="s">
        <v>1742</v>
      </c>
      <c r="J1184" s="12" t="s">
        <v>13</v>
      </c>
      <c r="K1184" s="11"/>
    </row>
    <row r="1185" spans="1:11" s="14" customFormat="1" ht="72" x14ac:dyDescent="0.25">
      <c r="A1185" s="36">
        <v>5151</v>
      </c>
      <c r="B1185" s="13" t="s">
        <v>1743</v>
      </c>
      <c r="C1185" s="25"/>
      <c r="D1185" s="11"/>
      <c r="E1185" s="36" t="s">
        <v>1451</v>
      </c>
      <c r="F1185" s="11"/>
      <c r="G1185" s="65" t="s">
        <v>13</v>
      </c>
      <c r="H1185" s="11" t="s">
        <v>1744</v>
      </c>
      <c r="I1185" s="11" t="s">
        <v>1745</v>
      </c>
      <c r="J1185" s="12" t="s">
        <v>13</v>
      </c>
      <c r="K1185" s="11"/>
    </row>
    <row r="1186" spans="1:11" s="14" customFormat="1" ht="36" x14ac:dyDescent="0.25">
      <c r="A1186" s="36">
        <v>5152</v>
      </c>
      <c r="B1186" s="13" t="s">
        <v>1746</v>
      </c>
      <c r="C1186" s="25"/>
      <c r="D1186" s="11"/>
      <c r="E1186" s="36" t="s">
        <v>1451</v>
      </c>
      <c r="F1186" s="11"/>
      <c r="G1186" s="65" t="s">
        <v>13</v>
      </c>
      <c r="H1186" s="11" t="s">
        <v>1747</v>
      </c>
      <c r="I1186" s="11" t="s">
        <v>1748</v>
      </c>
      <c r="J1186" s="12" t="s">
        <v>13</v>
      </c>
      <c r="K1186" s="11"/>
    </row>
    <row r="1187" spans="1:11" s="14" customFormat="1" ht="36" x14ac:dyDescent="0.25">
      <c r="A1187" s="36">
        <v>5153</v>
      </c>
      <c r="B1187" s="13" t="s">
        <v>1749</v>
      </c>
      <c r="C1187" s="25"/>
      <c r="D1187" s="11"/>
      <c r="E1187" s="36" t="s">
        <v>1451</v>
      </c>
      <c r="F1187" s="11"/>
      <c r="G1187" s="65" t="s">
        <v>13</v>
      </c>
      <c r="H1187" s="11" t="s">
        <v>1750</v>
      </c>
      <c r="I1187" s="11" t="s">
        <v>1748</v>
      </c>
      <c r="J1187" s="12" t="s">
        <v>13</v>
      </c>
      <c r="K1187" s="11"/>
    </row>
    <row r="1188" spans="1:11" s="14" customFormat="1" ht="72" x14ac:dyDescent="0.25">
      <c r="A1188" s="36">
        <v>5154</v>
      </c>
      <c r="B1188" s="13" t="s">
        <v>1751</v>
      </c>
      <c r="C1188" s="25"/>
      <c r="D1188" s="11"/>
      <c r="E1188" s="36" t="s">
        <v>1451</v>
      </c>
      <c r="F1188" s="11"/>
      <c r="G1188" s="65" t="s">
        <v>13</v>
      </c>
      <c r="H1188" s="11" t="s">
        <v>1752</v>
      </c>
      <c r="I1188" s="11" t="s">
        <v>1753</v>
      </c>
      <c r="J1188" s="12" t="s">
        <v>13</v>
      </c>
      <c r="K1188" s="11"/>
    </row>
    <row r="1189" spans="1:11" s="14" customFormat="1" ht="72" x14ac:dyDescent="0.25">
      <c r="A1189" s="36">
        <v>5155</v>
      </c>
      <c r="B1189" s="13" t="s">
        <v>1754</v>
      </c>
      <c r="C1189" s="25"/>
      <c r="D1189" s="11"/>
      <c r="E1189" s="36" t="s">
        <v>1451</v>
      </c>
      <c r="F1189" s="11"/>
      <c r="G1189" s="65" t="s">
        <v>13</v>
      </c>
      <c r="H1189" s="11" t="s">
        <v>1755</v>
      </c>
      <c r="I1189" s="11" t="s">
        <v>1756</v>
      </c>
      <c r="J1189" s="12" t="s">
        <v>13</v>
      </c>
      <c r="K1189" s="11"/>
    </row>
    <row r="1190" spans="1:11" s="14" customFormat="1" ht="18" x14ac:dyDescent="0.25">
      <c r="A1190" s="36"/>
      <c r="B1190" s="13"/>
      <c r="C1190" s="25"/>
      <c r="D1190" s="11"/>
      <c r="E1190" s="36"/>
      <c r="F1190" s="11"/>
      <c r="G1190" s="65"/>
      <c r="H1190" s="11"/>
      <c r="I1190" s="11"/>
      <c r="J1190" s="12" t="s">
        <v>13</v>
      </c>
      <c r="K1190" s="11"/>
    </row>
    <row r="1191" spans="1:11" s="14" customFormat="1" ht="18" x14ac:dyDescent="0.25">
      <c r="A1191" s="57"/>
      <c r="B1191" s="58" t="s">
        <v>1757</v>
      </c>
      <c r="C1191" s="25"/>
      <c r="D1191" s="59"/>
      <c r="E1191" s="57"/>
      <c r="F1191" s="59"/>
      <c r="G1191" s="65"/>
      <c r="H1191" s="59"/>
      <c r="I1191" s="59"/>
      <c r="J1191" s="12" t="s">
        <v>13</v>
      </c>
      <c r="K1191" s="11"/>
    </row>
    <row r="1192" spans="1:11" s="14" customFormat="1" ht="36" x14ac:dyDescent="0.25">
      <c r="A1192" s="36">
        <v>5156</v>
      </c>
      <c r="B1192" s="13" t="s">
        <v>1758</v>
      </c>
      <c r="C1192" s="25"/>
      <c r="D1192" s="11"/>
      <c r="E1192" s="36">
        <v>2</v>
      </c>
      <c r="F1192" s="11"/>
      <c r="G1192" s="65" t="s">
        <v>13</v>
      </c>
      <c r="H1192" s="11" t="s">
        <v>1759</v>
      </c>
      <c r="I1192" s="11" t="s">
        <v>1760</v>
      </c>
      <c r="J1192" s="12" t="s">
        <v>13</v>
      </c>
      <c r="K1192" s="11"/>
    </row>
    <row r="1193" spans="1:11" s="14" customFormat="1" ht="18" x14ac:dyDescent="0.25">
      <c r="A1193" s="36"/>
      <c r="B1193" s="13"/>
      <c r="C1193" s="25"/>
      <c r="D1193" s="11"/>
      <c r="E1193" s="36"/>
      <c r="F1193" s="11"/>
      <c r="G1193" s="65"/>
      <c r="H1193" s="11"/>
      <c r="I1193" s="11"/>
      <c r="J1193" s="12" t="s">
        <v>13</v>
      </c>
      <c r="K1193" s="11"/>
    </row>
    <row r="1194" spans="1:11" s="14" customFormat="1" ht="18" x14ac:dyDescent="0.25">
      <c r="A1194" s="57"/>
      <c r="B1194" s="58" t="s">
        <v>1761</v>
      </c>
      <c r="C1194" s="25"/>
      <c r="D1194" s="59"/>
      <c r="E1194" s="57"/>
      <c r="F1194" s="59"/>
      <c r="G1194" s="65"/>
      <c r="H1194" s="59"/>
      <c r="I1194" s="59"/>
      <c r="J1194" s="12" t="s">
        <v>13</v>
      </c>
      <c r="K1194" s="11"/>
    </row>
    <row r="1195" spans="1:11" s="14" customFormat="1" ht="102.75" customHeight="1" x14ac:dyDescent="0.25">
      <c r="A1195" s="36">
        <v>5157</v>
      </c>
      <c r="B1195" s="13" t="s">
        <v>1762</v>
      </c>
      <c r="C1195" s="25"/>
      <c r="D1195" s="11"/>
      <c r="E1195" s="36" t="s">
        <v>1451</v>
      </c>
      <c r="F1195" s="11"/>
      <c r="G1195" s="65" t="s">
        <v>13</v>
      </c>
      <c r="H1195" s="11" t="s">
        <v>1763</v>
      </c>
      <c r="I1195" s="13" t="s">
        <v>1764</v>
      </c>
      <c r="J1195" s="12" t="s">
        <v>13</v>
      </c>
      <c r="K1195" s="11"/>
    </row>
    <row r="1196" spans="1:11" s="14" customFormat="1" ht="72" x14ac:dyDescent="0.25">
      <c r="A1196" s="36">
        <v>5158</v>
      </c>
      <c r="B1196" s="13" t="s">
        <v>1765</v>
      </c>
      <c r="C1196" s="25"/>
      <c r="D1196" s="11"/>
      <c r="E1196" s="36">
        <v>2</v>
      </c>
      <c r="F1196" s="11"/>
      <c r="G1196" s="65" t="s">
        <v>13</v>
      </c>
      <c r="H1196" s="11" t="s">
        <v>1766</v>
      </c>
      <c r="I1196" s="11" t="s">
        <v>1767</v>
      </c>
      <c r="J1196" s="12" t="s">
        <v>13</v>
      </c>
      <c r="K1196" s="11"/>
    </row>
    <row r="1197" spans="1:11" s="14" customFormat="1" ht="134.44999999999999" customHeight="1" x14ac:dyDescent="0.25">
      <c r="A1197" s="36">
        <v>5159</v>
      </c>
      <c r="B1197" s="13" t="s">
        <v>1768</v>
      </c>
      <c r="C1197" s="25"/>
      <c r="D1197" s="11"/>
      <c r="E1197" s="36"/>
      <c r="F1197" s="11"/>
      <c r="G1197" s="65" t="s">
        <v>13</v>
      </c>
      <c r="H1197" s="11" t="s">
        <v>1769</v>
      </c>
      <c r="I1197" s="13" t="s">
        <v>1770</v>
      </c>
      <c r="J1197" s="12" t="s">
        <v>13</v>
      </c>
      <c r="K1197" s="11"/>
    </row>
    <row r="1198" spans="1:11" s="14" customFormat="1" ht="108" x14ac:dyDescent="0.25">
      <c r="A1198" s="36">
        <v>5160</v>
      </c>
      <c r="B1198" s="13" t="s">
        <v>1771</v>
      </c>
      <c r="C1198" s="25"/>
      <c r="D1198" s="11"/>
      <c r="E1198" s="36">
        <v>36</v>
      </c>
      <c r="F1198" s="11"/>
      <c r="G1198" s="65" t="s">
        <v>13</v>
      </c>
      <c r="H1198" s="11" t="s">
        <v>1772</v>
      </c>
      <c r="I1198" s="13" t="s">
        <v>1773</v>
      </c>
      <c r="J1198" s="12" t="s">
        <v>13</v>
      </c>
      <c r="K1198" s="11"/>
    </row>
    <row r="1199" spans="1:11" s="14" customFormat="1" ht="72" x14ac:dyDescent="0.25">
      <c r="A1199" s="36">
        <v>5161</v>
      </c>
      <c r="B1199" s="13" t="s">
        <v>1774</v>
      </c>
      <c r="C1199" s="25"/>
      <c r="D1199" s="11"/>
      <c r="E1199" s="36">
        <v>4</v>
      </c>
      <c r="F1199" s="11"/>
      <c r="G1199" s="65" t="s">
        <v>13</v>
      </c>
      <c r="H1199" s="11" t="s">
        <v>1775</v>
      </c>
      <c r="I1199" s="13" t="s">
        <v>1776</v>
      </c>
      <c r="J1199" s="12" t="s">
        <v>13</v>
      </c>
      <c r="K1199" s="11"/>
    </row>
    <row r="1200" spans="1:11" s="14" customFormat="1" ht="90" x14ac:dyDescent="0.25">
      <c r="A1200" s="36">
        <v>5162</v>
      </c>
      <c r="B1200" s="13" t="s">
        <v>1777</v>
      </c>
      <c r="C1200" s="25"/>
      <c r="D1200" s="11"/>
      <c r="E1200" s="36">
        <v>4</v>
      </c>
      <c r="F1200" s="11"/>
      <c r="G1200" s="65" t="s">
        <v>13</v>
      </c>
      <c r="H1200" s="11" t="s">
        <v>1778</v>
      </c>
      <c r="I1200" s="13" t="s">
        <v>1779</v>
      </c>
      <c r="J1200" s="12" t="s">
        <v>13</v>
      </c>
      <c r="K1200" s="11"/>
    </row>
    <row r="1201" spans="1:11" s="14" customFormat="1" ht="72" x14ac:dyDescent="0.25">
      <c r="A1201" s="36">
        <v>5163</v>
      </c>
      <c r="B1201" s="13" t="s">
        <v>1780</v>
      </c>
      <c r="C1201" s="25"/>
      <c r="D1201" s="11"/>
      <c r="E1201" s="36">
        <v>48</v>
      </c>
      <c r="F1201" s="11"/>
      <c r="G1201" s="65" t="s">
        <v>13</v>
      </c>
      <c r="H1201" s="11" t="s">
        <v>1781</v>
      </c>
      <c r="I1201" s="13" t="s">
        <v>1782</v>
      </c>
      <c r="J1201" s="12" t="s">
        <v>13</v>
      </c>
      <c r="K1201" s="11"/>
    </row>
    <row r="1202" spans="1:11" s="14" customFormat="1" ht="96" customHeight="1" x14ac:dyDescent="0.25">
      <c r="A1202" s="36">
        <v>5164</v>
      </c>
      <c r="B1202" s="13" t="s">
        <v>1783</v>
      </c>
      <c r="C1202" s="25"/>
      <c r="D1202" s="11"/>
      <c r="E1202" s="36">
        <v>48</v>
      </c>
      <c r="F1202" s="11"/>
      <c r="G1202" s="65" t="s">
        <v>13</v>
      </c>
      <c r="H1202" s="11" t="s">
        <v>1784</v>
      </c>
      <c r="I1202" s="13" t="s">
        <v>1785</v>
      </c>
      <c r="J1202" s="12" t="s">
        <v>13</v>
      </c>
      <c r="K1202" s="11"/>
    </row>
    <row r="1203" spans="1:11" s="14" customFormat="1" ht="76.7" customHeight="1" x14ac:dyDescent="0.25">
      <c r="A1203" s="36">
        <v>5165</v>
      </c>
      <c r="B1203" s="13" t="s">
        <v>1786</v>
      </c>
      <c r="C1203" s="25"/>
      <c r="D1203" s="11"/>
      <c r="E1203" s="36">
        <v>48</v>
      </c>
      <c r="F1203" s="11"/>
      <c r="G1203" s="65" t="s">
        <v>13</v>
      </c>
      <c r="H1203" s="11" t="s">
        <v>1787</v>
      </c>
      <c r="I1203" s="13" t="s">
        <v>1788</v>
      </c>
      <c r="J1203" s="12" t="s">
        <v>13</v>
      </c>
      <c r="K1203" s="11"/>
    </row>
    <row r="1204" spans="1:11" s="14" customFormat="1" ht="78.599999999999994" customHeight="1" x14ac:dyDescent="0.25">
      <c r="A1204" s="36">
        <v>5166</v>
      </c>
      <c r="B1204" s="13" t="s">
        <v>1789</v>
      </c>
      <c r="C1204" s="25"/>
      <c r="D1204" s="11"/>
      <c r="E1204" s="36">
        <v>48</v>
      </c>
      <c r="F1204" s="11"/>
      <c r="G1204" s="65" t="s">
        <v>13</v>
      </c>
      <c r="H1204" s="11" t="s">
        <v>1790</v>
      </c>
      <c r="I1204" s="13" t="s">
        <v>1791</v>
      </c>
      <c r="J1204" s="12" t="s">
        <v>13</v>
      </c>
      <c r="K1204" s="11"/>
    </row>
    <row r="1205" spans="1:11" s="14" customFormat="1" ht="97.7" customHeight="1" x14ac:dyDescent="0.25">
      <c r="A1205" s="36">
        <v>5167</v>
      </c>
      <c r="B1205" s="13" t="s">
        <v>1792</v>
      </c>
      <c r="C1205" s="25"/>
      <c r="D1205" s="11"/>
      <c r="E1205" s="36">
        <v>48</v>
      </c>
      <c r="F1205" s="11"/>
      <c r="G1205" s="65" t="s">
        <v>13</v>
      </c>
      <c r="H1205" s="11" t="s">
        <v>1793</v>
      </c>
      <c r="I1205" s="13" t="s">
        <v>1794</v>
      </c>
      <c r="J1205" s="12" t="s">
        <v>13</v>
      </c>
      <c r="K1205" s="11"/>
    </row>
    <row r="1206" spans="1:11" s="14" customFormat="1" ht="60" customHeight="1" x14ac:dyDescent="0.25">
      <c r="A1206" s="36">
        <v>5168</v>
      </c>
      <c r="B1206" s="13" t="s">
        <v>1795</v>
      </c>
      <c r="C1206" s="25"/>
      <c r="D1206" s="11"/>
      <c r="E1206" s="36">
        <v>48</v>
      </c>
      <c r="F1206" s="11"/>
      <c r="G1206" s="65" t="s">
        <v>13</v>
      </c>
      <c r="H1206" s="11" t="s">
        <v>1796</v>
      </c>
      <c r="I1206" s="13" t="s">
        <v>1797</v>
      </c>
      <c r="J1206" s="12" t="s">
        <v>13</v>
      </c>
      <c r="K1206" s="11"/>
    </row>
    <row r="1207" spans="1:11" s="14" customFormat="1" ht="80.45" customHeight="1" x14ac:dyDescent="0.25">
      <c r="A1207" s="36">
        <v>5169</v>
      </c>
      <c r="B1207" s="13" t="s">
        <v>1798</v>
      </c>
      <c r="C1207" s="25"/>
      <c r="D1207" s="11"/>
      <c r="E1207" s="36">
        <v>48</v>
      </c>
      <c r="F1207" s="11"/>
      <c r="G1207" s="65" t="s">
        <v>13</v>
      </c>
      <c r="H1207" s="11" t="s">
        <v>1799</v>
      </c>
      <c r="I1207" s="13" t="s">
        <v>1800</v>
      </c>
      <c r="J1207" s="12" t="s">
        <v>13</v>
      </c>
      <c r="K1207" s="11"/>
    </row>
    <row r="1208" spans="1:11" s="14" customFormat="1" ht="54" x14ac:dyDescent="0.25">
      <c r="A1208" s="36">
        <v>5170</v>
      </c>
      <c r="B1208" s="13" t="s">
        <v>1801</v>
      </c>
      <c r="C1208" s="25"/>
      <c r="D1208" s="11"/>
      <c r="E1208" s="36" t="s">
        <v>1451</v>
      </c>
      <c r="F1208" s="11"/>
      <c r="G1208" s="65" t="s">
        <v>13</v>
      </c>
      <c r="H1208" s="11" t="s">
        <v>1802</v>
      </c>
      <c r="I1208" s="13" t="s">
        <v>1803</v>
      </c>
      <c r="J1208" s="12" t="s">
        <v>13</v>
      </c>
      <c r="K1208" s="11"/>
    </row>
    <row r="1209" spans="1:11" s="14" customFormat="1" ht="54" x14ac:dyDescent="0.25">
      <c r="A1209" s="36">
        <v>5171</v>
      </c>
      <c r="B1209" s="13" t="s">
        <v>1804</v>
      </c>
      <c r="C1209" s="25"/>
      <c r="D1209" s="11"/>
      <c r="E1209" s="36">
        <v>2</v>
      </c>
      <c r="F1209" s="11"/>
      <c r="G1209" s="65" t="s">
        <v>13</v>
      </c>
      <c r="H1209" s="11" t="s">
        <v>1805</v>
      </c>
      <c r="I1209" s="13" t="s">
        <v>1806</v>
      </c>
      <c r="J1209" s="12" t="s">
        <v>13</v>
      </c>
      <c r="K1209" s="11"/>
    </row>
    <row r="1210" spans="1:11" s="14" customFormat="1" ht="54" x14ac:dyDescent="0.25">
      <c r="A1210" s="36">
        <v>5172</v>
      </c>
      <c r="B1210" s="13" t="s">
        <v>1807</v>
      </c>
      <c r="C1210" s="25"/>
      <c r="D1210" s="11"/>
      <c r="E1210" s="36">
        <v>2</v>
      </c>
      <c r="F1210" s="11"/>
      <c r="G1210" s="65" t="s">
        <v>13</v>
      </c>
      <c r="H1210" s="11" t="s">
        <v>1808</v>
      </c>
      <c r="I1210" s="13" t="s">
        <v>1809</v>
      </c>
      <c r="J1210" s="12" t="s">
        <v>13</v>
      </c>
      <c r="K1210" s="11"/>
    </row>
    <row r="1211" spans="1:11" s="14" customFormat="1" ht="54" x14ac:dyDescent="0.25">
      <c r="A1211" s="36">
        <v>5173</v>
      </c>
      <c r="B1211" s="13" t="s">
        <v>1810</v>
      </c>
      <c r="C1211" s="25"/>
      <c r="D1211" s="11"/>
      <c r="E1211" s="36">
        <v>2</v>
      </c>
      <c r="F1211" s="11"/>
      <c r="G1211" s="65" t="s">
        <v>13</v>
      </c>
      <c r="H1211" s="11" t="s">
        <v>1811</v>
      </c>
      <c r="I1211" s="13" t="s">
        <v>1812</v>
      </c>
      <c r="J1211" s="12" t="s">
        <v>13</v>
      </c>
      <c r="K1211" s="11"/>
    </row>
    <row r="1212" spans="1:11" s="14" customFormat="1" ht="54" x14ac:dyDescent="0.25">
      <c r="A1212" s="36">
        <v>5174</v>
      </c>
      <c r="B1212" s="13" t="s">
        <v>1813</v>
      </c>
      <c r="C1212" s="25"/>
      <c r="D1212" s="11"/>
      <c r="E1212" s="36">
        <v>2</v>
      </c>
      <c r="F1212" s="11"/>
      <c r="G1212" s="65" t="s">
        <v>13</v>
      </c>
      <c r="H1212" s="11" t="s">
        <v>1814</v>
      </c>
      <c r="I1212" s="13" t="s">
        <v>1815</v>
      </c>
      <c r="J1212" s="12" t="s">
        <v>13</v>
      </c>
      <c r="K1212" s="11"/>
    </row>
    <row r="1213" spans="1:11" s="14" customFormat="1" ht="54" x14ac:dyDescent="0.25">
      <c r="A1213" s="36">
        <v>5175</v>
      </c>
      <c r="B1213" s="13" t="s">
        <v>1816</v>
      </c>
      <c r="C1213" s="25"/>
      <c r="D1213" s="11"/>
      <c r="E1213" s="36">
        <v>2</v>
      </c>
      <c r="F1213" s="11"/>
      <c r="G1213" s="65" t="s">
        <v>13</v>
      </c>
      <c r="H1213" s="11" t="s">
        <v>1817</v>
      </c>
      <c r="I1213" s="13" t="s">
        <v>1818</v>
      </c>
      <c r="J1213" s="12" t="s">
        <v>13</v>
      </c>
      <c r="K1213" s="11"/>
    </row>
    <row r="1214" spans="1:11" s="14" customFormat="1" ht="54" x14ac:dyDescent="0.25">
      <c r="A1214" s="36">
        <v>5176</v>
      </c>
      <c r="B1214" s="13" t="s">
        <v>1819</v>
      </c>
      <c r="C1214" s="25"/>
      <c r="D1214" s="11"/>
      <c r="E1214" s="36">
        <v>2</v>
      </c>
      <c r="F1214" s="11"/>
      <c r="G1214" s="65" t="s">
        <v>13</v>
      </c>
      <c r="H1214" s="11" t="s">
        <v>1820</v>
      </c>
      <c r="I1214" s="13" t="s">
        <v>1821</v>
      </c>
      <c r="J1214" s="12" t="s">
        <v>13</v>
      </c>
      <c r="K1214" s="11"/>
    </row>
    <row r="1215" spans="1:11" s="14" customFormat="1" ht="54" x14ac:dyDescent="0.25">
      <c r="A1215" s="36">
        <v>5177</v>
      </c>
      <c r="B1215" s="13" t="s">
        <v>1822</v>
      </c>
      <c r="C1215" s="25"/>
      <c r="D1215" s="11"/>
      <c r="E1215" s="36">
        <v>2</v>
      </c>
      <c r="F1215" s="11"/>
      <c r="G1215" s="65" t="s">
        <v>13</v>
      </c>
      <c r="H1215" s="11" t="s">
        <v>1823</v>
      </c>
      <c r="I1215" s="13" t="s">
        <v>1824</v>
      </c>
      <c r="J1215" s="12" t="s">
        <v>13</v>
      </c>
      <c r="K1215" s="11"/>
    </row>
    <row r="1216" spans="1:11" s="14" customFormat="1" ht="54" x14ac:dyDescent="0.25">
      <c r="A1216" s="36">
        <v>5178</v>
      </c>
      <c r="B1216" s="13" t="s">
        <v>1825</v>
      </c>
      <c r="C1216" s="25"/>
      <c r="D1216" s="11"/>
      <c r="E1216" s="36">
        <v>36</v>
      </c>
      <c r="F1216" s="11"/>
      <c r="G1216" s="65" t="s">
        <v>13</v>
      </c>
      <c r="H1216" s="11" t="s">
        <v>1826</v>
      </c>
      <c r="I1216" s="13" t="s">
        <v>1827</v>
      </c>
      <c r="J1216" s="12" t="s">
        <v>13</v>
      </c>
      <c r="K1216" s="11"/>
    </row>
    <row r="1217" spans="1:11" s="14" customFormat="1" ht="54" x14ac:dyDescent="0.25">
      <c r="A1217" s="36">
        <v>5179</v>
      </c>
      <c r="B1217" s="13" t="s">
        <v>1828</v>
      </c>
      <c r="C1217" s="25"/>
      <c r="D1217" s="11"/>
      <c r="E1217" s="36">
        <v>4</v>
      </c>
      <c r="F1217" s="11"/>
      <c r="G1217" s="65" t="s">
        <v>13</v>
      </c>
      <c r="H1217" s="11" t="s">
        <v>1829</v>
      </c>
      <c r="I1217" s="13" t="s">
        <v>1830</v>
      </c>
      <c r="J1217" s="12" t="s">
        <v>13</v>
      </c>
      <c r="K1217" s="11"/>
    </row>
    <row r="1218" spans="1:11" s="14" customFormat="1" ht="54" x14ac:dyDescent="0.25">
      <c r="A1218" s="36">
        <v>5180</v>
      </c>
      <c r="B1218" s="13" t="s">
        <v>1831</v>
      </c>
      <c r="C1218" s="25"/>
      <c r="D1218" s="11"/>
      <c r="E1218" s="36">
        <v>48</v>
      </c>
      <c r="F1218" s="11"/>
      <c r="G1218" s="65" t="s">
        <v>13</v>
      </c>
      <c r="H1218" s="11" t="s">
        <v>1832</v>
      </c>
      <c r="I1218" s="13" t="s">
        <v>1833</v>
      </c>
      <c r="J1218" s="12" t="s">
        <v>13</v>
      </c>
      <c r="K1218" s="11"/>
    </row>
    <row r="1219" spans="1:11" s="14" customFormat="1" ht="72" x14ac:dyDescent="0.25">
      <c r="A1219" s="36">
        <v>5181</v>
      </c>
      <c r="B1219" s="13" t="s">
        <v>1834</v>
      </c>
      <c r="C1219" s="25"/>
      <c r="D1219" s="11"/>
      <c r="E1219" s="36" t="s">
        <v>1451</v>
      </c>
      <c r="F1219" s="11"/>
      <c r="G1219" s="65" t="s">
        <v>13</v>
      </c>
      <c r="H1219" s="11" t="s">
        <v>1835</v>
      </c>
      <c r="I1219" s="11" t="s">
        <v>1836</v>
      </c>
      <c r="J1219" s="12" t="s">
        <v>13</v>
      </c>
      <c r="K1219" s="11"/>
    </row>
    <row r="1220" spans="1:11" s="14" customFormat="1" ht="54" x14ac:dyDescent="0.25">
      <c r="A1220" s="36">
        <v>5182</v>
      </c>
      <c r="B1220" s="13" t="s">
        <v>1837</v>
      </c>
      <c r="C1220" s="25"/>
      <c r="D1220" s="11"/>
      <c r="E1220" s="36" t="s">
        <v>1451</v>
      </c>
      <c r="F1220" s="11"/>
      <c r="G1220" s="65" t="s">
        <v>13</v>
      </c>
      <c r="H1220" s="11" t="s">
        <v>1838</v>
      </c>
      <c r="I1220" s="11" t="s">
        <v>1839</v>
      </c>
      <c r="J1220" s="12" t="s">
        <v>13</v>
      </c>
      <c r="K1220" s="11"/>
    </row>
    <row r="1221" spans="1:11" s="63" customFormat="1" ht="72" x14ac:dyDescent="0.25">
      <c r="A1221" s="36">
        <v>5183</v>
      </c>
      <c r="B1221" s="13" t="s">
        <v>1840</v>
      </c>
      <c r="C1221" s="60"/>
      <c r="D1221" s="61"/>
      <c r="E1221" s="103">
        <v>8</v>
      </c>
      <c r="F1221" s="61"/>
      <c r="G1221" s="62" t="s">
        <v>13</v>
      </c>
      <c r="H1221" s="61" t="s">
        <v>1841</v>
      </c>
      <c r="I1221" s="69" t="s">
        <v>1842</v>
      </c>
      <c r="J1221" s="12" t="s">
        <v>13</v>
      </c>
      <c r="K1221" s="61"/>
    </row>
    <row r="1222" spans="1:11" s="73" customFormat="1" ht="36" x14ac:dyDescent="0.25">
      <c r="A1222" s="36">
        <v>5184</v>
      </c>
      <c r="B1222" s="13" t="s">
        <v>1843</v>
      </c>
      <c r="C1222" s="70"/>
      <c r="D1222" s="71"/>
      <c r="E1222" s="104"/>
      <c r="F1222" s="71"/>
      <c r="G1222" s="72" t="s">
        <v>13</v>
      </c>
      <c r="H1222" s="71" t="s">
        <v>1844</v>
      </c>
      <c r="I1222" s="71" t="s">
        <v>1845</v>
      </c>
      <c r="J1222" s="12" t="s">
        <v>13</v>
      </c>
      <c r="K1222" s="71"/>
    </row>
    <row r="1223" spans="1:11" s="14" customFormat="1" ht="90" x14ac:dyDescent="0.25">
      <c r="A1223" s="36">
        <v>5185</v>
      </c>
      <c r="B1223" s="13" t="s">
        <v>1846</v>
      </c>
      <c r="C1223" s="25"/>
      <c r="D1223" s="11"/>
      <c r="E1223" s="36">
        <v>4</v>
      </c>
      <c r="F1223" s="11"/>
      <c r="G1223" s="65" t="s">
        <v>13</v>
      </c>
      <c r="H1223" s="11" t="s">
        <v>1847</v>
      </c>
      <c r="I1223" s="13" t="s">
        <v>1848</v>
      </c>
      <c r="J1223" s="12" t="s">
        <v>13</v>
      </c>
      <c r="K1223" s="11"/>
    </row>
    <row r="1224" spans="1:11" s="14" customFormat="1" ht="90" x14ac:dyDescent="0.25">
      <c r="A1224" s="36">
        <v>5186</v>
      </c>
      <c r="B1224" s="13" t="s">
        <v>1849</v>
      </c>
      <c r="C1224" s="25"/>
      <c r="D1224" s="11"/>
      <c r="E1224" s="36">
        <v>4</v>
      </c>
      <c r="F1224" s="11"/>
      <c r="G1224" s="65" t="s">
        <v>13</v>
      </c>
      <c r="H1224" s="11" t="s">
        <v>1850</v>
      </c>
      <c r="I1224" s="13" t="s">
        <v>1851</v>
      </c>
      <c r="J1224" s="12" t="s">
        <v>13</v>
      </c>
      <c r="K1224" s="11"/>
    </row>
    <row r="1225" spans="1:11" s="14" customFormat="1" ht="90" x14ac:dyDescent="0.25">
      <c r="A1225" s="36">
        <v>5187</v>
      </c>
      <c r="B1225" s="13" t="s">
        <v>1852</v>
      </c>
      <c r="C1225" s="25"/>
      <c r="D1225" s="11"/>
      <c r="E1225" s="36" t="s">
        <v>1451</v>
      </c>
      <c r="F1225" s="11"/>
      <c r="G1225" s="65" t="s">
        <v>13</v>
      </c>
      <c r="H1225" s="11" t="s">
        <v>1853</v>
      </c>
      <c r="I1225" s="11" t="s">
        <v>1854</v>
      </c>
      <c r="J1225" s="12" t="s">
        <v>13</v>
      </c>
      <c r="K1225" s="11"/>
    </row>
    <row r="1226" spans="1:11" s="63" customFormat="1" ht="108" x14ac:dyDescent="0.25">
      <c r="A1226" s="36">
        <v>5188</v>
      </c>
      <c r="B1226" s="13" t="s">
        <v>1855</v>
      </c>
      <c r="C1226" s="60"/>
      <c r="D1226" s="61"/>
      <c r="E1226" s="103">
        <v>12</v>
      </c>
      <c r="F1226" s="61"/>
      <c r="G1226" s="62" t="s">
        <v>13</v>
      </c>
      <c r="H1226" s="61" t="s">
        <v>1856</v>
      </c>
      <c r="I1226" s="69" t="s">
        <v>1857</v>
      </c>
      <c r="J1226" s="12" t="s">
        <v>13</v>
      </c>
      <c r="K1226" s="61"/>
    </row>
    <row r="1227" spans="1:11" s="14" customFormat="1" ht="54" x14ac:dyDescent="0.25">
      <c r="A1227" s="36">
        <v>5189</v>
      </c>
      <c r="B1227" s="13" t="s">
        <v>1858</v>
      </c>
      <c r="C1227" s="25"/>
      <c r="D1227" s="11"/>
      <c r="E1227" s="36">
        <v>2</v>
      </c>
      <c r="F1227" s="11"/>
      <c r="G1227" s="65" t="s">
        <v>13</v>
      </c>
      <c r="H1227" s="11" t="s">
        <v>1859</v>
      </c>
      <c r="I1227" s="11" t="s">
        <v>1860</v>
      </c>
      <c r="J1227" s="12" t="s">
        <v>13</v>
      </c>
      <c r="K1227" s="11"/>
    </row>
    <row r="1228" spans="1:11" s="14" customFormat="1" ht="36" x14ac:dyDescent="0.25">
      <c r="A1228" s="36">
        <v>5190</v>
      </c>
      <c r="B1228" s="13" t="s">
        <v>1861</v>
      </c>
      <c r="C1228" s="25"/>
      <c r="D1228" s="11"/>
      <c r="E1228" s="36">
        <v>2</v>
      </c>
      <c r="F1228" s="11"/>
      <c r="G1228" s="65" t="s">
        <v>13</v>
      </c>
      <c r="H1228" s="11" t="s">
        <v>1862</v>
      </c>
      <c r="I1228" s="11" t="s">
        <v>1863</v>
      </c>
      <c r="J1228" s="12" t="s">
        <v>13</v>
      </c>
      <c r="K1228" s="11"/>
    </row>
    <row r="1229" spans="1:11" s="14" customFormat="1" ht="36" x14ac:dyDescent="0.25">
      <c r="A1229" s="36">
        <v>5191</v>
      </c>
      <c r="B1229" s="13" t="s">
        <v>1864</v>
      </c>
      <c r="C1229" s="25"/>
      <c r="D1229" s="11"/>
      <c r="E1229" s="36" t="s">
        <v>1451</v>
      </c>
      <c r="F1229" s="11"/>
      <c r="G1229" s="65" t="s">
        <v>13</v>
      </c>
      <c r="H1229" s="11" t="s">
        <v>1865</v>
      </c>
      <c r="I1229" s="11" t="s">
        <v>1866</v>
      </c>
      <c r="J1229" s="12" t="s">
        <v>13</v>
      </c>
      <c r="K1229" s="11"/>
    </row>
    <row r="1230" spans="1:11" s="14" customFormat="1" ht="54" x14ac:dyDescent="0.25">
      <c r="A1230" s="36">
        <v>5192</v>
      </c>
      <c r="B1230" s="13" t="s">
        <v>1867</v>
      </c>
      <c r="C1230" s="25"/>
      <c r="D1230" s="11"/>
      <c r="E1230" s="36">
        <v>2</v>
      </c>
      <c r="F1230" s="11"/>
      <c r="G1230" s="65" t="s">
        <v>13</v>
      </c>
      <c r="H1230" s="11" t="s">
        <v>1868</v>
      </c>
      <c r="I1230" s="11" t="s">
        <v>1869</v>
      </c>
      <c r="J1230" s="12" t="s">
        <v>13</v>
      </c>
      <c r="K1230" s="11"/>
    </row>
    <row r="1231" spans="1:11" s="14" customFormat="1" ht="54" x14ac:dyDescent="0.25">
      <c r="A1231" s="36">
        <v>5193</v>
      </c>
      <c r="B1231" s="13" t="s">
        <v>1870</v>
      </c>
      <c r="C1231" s="25"/>
      <c r="D1231" s="11"/>
      <c r="E1231" s="36">
        <v>2</v>
      </c>
      <c r="F1231" s="11"/>
      <c r="G1231" s="65" t="s">
        <v>13</v>
      </c>
      <c r="H1231" s="11" t="s">
        <v>1871</v>
      </c>
      <c r="I1231" s="11" t="s">
        <v>1872</v>
      </c>
      <c r="J1231" s="12" t="s">
        <v>13</v>
      </c>
      <c r="K1231" s="11"/>
    </row>
    <row r="1232" spans="1:11" s="14" customFormat="1" ht="36" x14ac:dyDescent="0.25">
      <c r="A1232" s="36">
        <v>5194</v>
      </c>
      <c r="B1232" s="13" t="s">
        <v>1873</v>
      </c>
      <c r="C1232" s="25"/>
      <c r="D1232" s="11"/>
      <c r="E1232" s="36" t="s">
        <v>1451</v>
      </c>
      <c r="F1232" s="11"/>
      <c r="G1232" s="65" t="s">
        <v>13</v>
      </c>
      <c r="H1232" s="11" t="s">
        <v>1874</v>
      </c>
      <c r="I1232" s="11" t="s">
        <v>1875</v>
      </c>
      <c r="J1232" s="12" t="s">
        <v>13</v>
      </c>
      <c r="K1232" s="11"/>
    </row>
    <row r="1233" spans="1:11" s="14" customFormat="1" ht="36" x14ac:dyDescent="0.25">
      <c r="A1233" s="36">
        <v>5195</v>
      </c>
      <c r="B1233" s="13" t="s">
        <v>1876</v>
      </c>
      <c r="C1233" s="25"/>
      <c r="D1233" s="11"/>
      <c r="E1233" s="36" t="s">
        <v>1451</v>
      </c>
      <c r="F1233" s="11"/>
      <c r="G1233" s="65" t="s">
        <v>13</v>
      </c>
      <c r="H1233" s="11" t="s">
        <v>1877</v>
      </c>
      <c r="I1233" s="11" t="s">
        <v>1878</v>
      </c>
      <c r="J1233" s="12" t="s">
        <v>13</v>
      </c>
      <c r="K1233" s="11"/>
    </row>
    <row r="1234" spans="1:11" s="14" customFormat="1" ht="72" x14ac:dyDescent="0.25">
      <c r="A1234" s="36">
        <v>5196</v>
      </c>
      <c r="B1234" s="13" t="s">
        <v>1879</v>
      </c>
      <c r="C1234" s="25"/>
      <c r="D1234" s="11"/>
      <c r="E1234" s="36">
        <v>3</v>
      </c>
      <c r="F1234" s="11"/>
      <c r="G1234" s="65" t="s">
        <v>13</v>
      </c>
      <c r="H1234" s="11" t="s">
        <v>1880</v>
      </c>
      <c r="I1234" s="11" t="s">
        <v>1881</v>
      </c>
      <c r="J1234" s="12" t="s">
        <v>13</v>
      </c>
      <c r="K1234" s="11"/>
    </row>
    <row r="1235" spans="1:11" s="14" customFormat="1" ht="72" x14ac:dyDescent="0.25">
      <c r="A1235" s="36">
        <v>5197</v>
      </c>
      <c r="B1235" s="13" t="s">
        <v>1882</v>
      </c>
      <c r="C1235" s="25"/>
      <c r="D1235" s="11"/>
      <c r="E1235" s="36">
        <v>4</v>
      </c>
      <c r="F1235" s="11"/>
      <c r="G1235" s="65" t="s">
        <v>13</v>
      </c>
      <c r="H1235" s="11" t="s">
        <v>1883</v>
      </c>
      <c r="I1235" s="11" t="s">
        <v>1881</v>
      </c>
      <c r="J1235" s="12" t="s">
        <v>13</v>
      </c>
      <c r="K1235" s="11"/>
    </row>
    <row r="1236" spans="1:11" s="14" customFormat="1" ht="144" x14ac:dyDescent="0.25">
      <c r="A1236" s="36">
        <v>5198</v>
      </c>
      <c r="B1236" s="13" t="s">
        <v>1884</v>
      </c>
      <c r="C1236" s="25"/>
      <c r="D1236" s="11"/>
      <c r="E1236" s="36">
        <v>6</v>
      </c>
      <c r="F1236" s="11"/>
      <c r="G1236" s="65" t="s">
        <v>13</v>
      </c>
      <c r="H1236" s="11" t="s">
        <v>1885</v>
      </c>
      <c r="I1236" s="13" t="s">
        <v>1591</v>
      </c>
      <c r="J1236" s="12" t="s">
        <v>13</v>
      </c>
      <c r="K1236" s="11"/>
    </row>
    <row r="1237" spans="1:11" s="14" customFormat="1" ht="54" x14ac:dyDescent="0.25">
      <c r="A1237" s="36">
        <v>5199</v>
      </c>
      <c r="B1237" s="13" t="s">
        <v>1886</v>
      </c>
      <c r="C1237" s="25"/>
      <c r="D1237" s="11"/>
      <c r="E1237" s="36">
        <v>4</v>
      </c>
      <c r="F1237" s="11"/>
      <c r="G1237" s="65" t="s">
        <v>13</v>
      </c>
      <c r="H1237" s="11" t="s">
        <v>1887</v>
      </c>
      <c r="I1237" s="13" t="s">
        <v>1616</v>
      </c>
      <c r="J1237" s="12" t="s">
        <v>13</v>
      </c>
      <c r="K1237" s="11"/>
    </row>
    <row r="1238" spans="1:11" s="14" customFormat="1" ht="54" x14ac:dyDescent="0.25">
      <c r="A1238" s="36">
        <v>5200</v>
      </c>
      <c r="B1238" s="13" t="s">
        <v>1888</v>
      </c>
      <c r="C1238" s="25"/>
      <c r="D1238" s="11"/>
      <c r="E1238" s="36">
        <v>4</v>
      </c>
      <c r="F1238" s="11"/>
      <c r="G1238" s="65" t="s">
        <v>13</v>
      </c>
      <c r="H1238" s="11" t="s">
        <v>1889</v>
      </c>
      <c r="I1238" s="13" t="s">
        <v>1616</v>
      </c>
      <c r="J1238" s="12" t="s">
        <v>13</v>
      </c>
      <c r="K1238" s="11"/>
    </row>
    <row r="1239" spans="1:11" s="14" customFormat="1" ht="180" x14ac:dyDescent="0.25">
      <c r="A1239" s="36">
        <v>5201</v>
      </c>
      <c r="B1239" s="13" t="s">
        <v>1890</v>
      </c>
      <c r="C1239" s="25"/>
      <c r="D1239" s="11"/>
      <c r="E1239" s="36">
        <v>36</v>
      </c>
      <c r="F1239" s="11"/>
      <c r="G1239" s="65" t="s">
        <v>13</v>
      </c>
      <c r="H1239" s="11" t="s">
        <v>1891</v>
      </c>
      <c r="I1239" s="13" t="s">
        <v>1591</v>
      </c>
      <c r="J1239" s="12" t="s">
        <v>13</v>
      </c>
      <c r="K1239" s="11"/>
    </row>
    <row r="1240" spans="1:11" s="14" customFormat="1" ht="144" x14ac:dyDescent="0.25">
      <c r="A1240" s="36">
        <v>5202</v>
      </c>
      <c r="B1240" s="13" t="s">
        <v>1892</v>
      </c>
      <c r="C1240" s="25"/>
      <c r="D1240" s="11"/>
      <c r="E1240" s="36">
        <v>6</v>
      </c>
      <c r="F1240" s="11"/>
      <c r="G1240" s="65" t="s">
        <v>13</v>
      </c>
      <c r="H1240" s="11" t="s">
        <v>1893</v>
      </c>
      <c r="I1240" s="13" t="s">
        <v>1591</v>
      </c>
      <c r="J1240" s="12" t="s">
        <v>13</v>
      </c>
      <c r="K1240" s="11"/>
    </row>
    <row r="1241" spans="1:11" s="63" customFormat="1" ht="90" x14ac:dyDescent="0.25">
      <c r="A1241" s="36">
        <v>5203</v>
      </c>
      <c r="B1241" s="13" t="s">
        <v>1894</v>
      </c>
      <c r="C1241" s="60"/>
      <c r="D1241" s="61"/>
      <c r="E1241" s="103">
        <v>18</v>
      </c>
      <c r="F1241" s="61"/>
      <c r="G1241" s="62" t="s">
        <v>13</v>
      </c>
      <c r="H1241" s="61" t="s">
        <v>1895</v>
      </c>
      <c r="I1241" s="69" t="s">
        <v>1896</v>
      </c>
      <c r="J1241" s="12" t="s">
        <v>13</v>
      </c>
      <c r="K1241" s="61"/>
    </row>
    <row r="1242" spans="1:11" s="63" customFormat="1" ht="90" x14ac:dyDescent="0.25">
      <c r="A1242" s="36">
        <v>5204</v>
      </c>
      <c r="B1242" s="13" t="s">
        <v>1897</v>
      </c>
      <c r="C1242" s="60"/>
      <c r="D1242" s="61"/>
      <c r="E1242" s="103">
        <v>18</v>
      </c>
      <c r="F1242" s="61"/>
      <c r="G1242" s="62" t="s">
        <v>13</v>
      </c>
      <c r="H1242" s="61" t="s">
        <v>1898</v>
      </c>
      <c r="I1242" s="69" t="s">
        <v>1899</v>
      </c>
      <c r="J1242" s="12" t="s">
        <v>13</v>
      </c>
      <c r="K1242" s="61"/>
    </row>
    <row r="1243" spans="1:11" s="14" customFormat="1" ht="36" x14ac:dyDescent="0.25">
      <c r="A1243" s="36">
        <v>5205</v>
      </c>
      <c r="B1243" s="13" t="s">
        <v>1900</v>
      </c>
      <c r="C1243" s="25"/>
      <c r="D1243" s="11"/>
      <c r="E1243" s="36">
        <v>3</v>
      </c>
      <c r="F1243" s="11"/>
      <c r="G1243" s="65" t="s">
        <v>13</v>
      </c>
      <c r="H1243" s="11" t="s">
        <v>1901</v>
      </c>
      <c r="I1243" s="11" t="s">
        <v>1902</v>
      </c>
      <c r="J1243" s="12" t="s">
        <v>13</v>
      </c>
      <c r="K1243" s="11"/>
    </row>
    <row r="1244" spans="1:11" s="14" customFormat="1" ht="36" x14ac:dyDescent="0.25">
      <c r="A1244" s="36">
        <v>5206</v>
      </c>
      <c r="B1244" s="13" t="s">
        <v>1903</v>
      </c>
      <c r="C1244" s="25"/>
      <c r="D1244" s="11"/>
      <c r="E1244" s="36">
        <v>3</v>
      </c>
      <c r="F1244" s="11"/>
      <c r="G1244" s="65" t="s">
        <v>13</v>
      </c>
      <c r="H1244" s="11" t="s">
        <v>1904</v>
      </c>
      <c r="I1244" s="11" t="s">
        <v>1902</v>
      </c>
      <c r="J1244" s="12" t="s">
        <v>13</v>
      </c>
      <c r="K1244" s="11"/>
    </row>
    <row r="1245" spans="1:11" s="14" customFormat="1" ht="54" x14ac:dyDescent="0.25">
      <c r="A1245" s="36">
        <v>5207</v>
      </c>
      <c r="B1245" s="13" t="s">
        <v>1905</v>
      </c>
      <c r="C1245" s="25"/>
      <c r="D1245" s="11"/>
      <c r="E1245" s="36" t="s">
        <v>1451</v>
      </c>
      <c r="F1245" s="11"/>
      <c r="G1245" s="65" t="s">
        <v>13</v>
      </c>
      <c r="H1245" s="11" t="s">
        <v>1906</v>
      </c>
      <c r="I1245" s="11" t="s">
        <v>1907</v>
      </c>
      <c r="J1245" s="12" t="s">
        <v>13</v>
      </c>
      <c r="K1245" s="11"/>
    </row>
    <row r="1246" spans="1:11" s="14" customFormat="1" ht="36" x14ac:dyDescent="0.25">
      <c r="A1246" s="36">
        <v>5208</v>
      </c>
      <c r="B1246" s="13" t="s">
        <v>1908</v>
      </c>
      <c r="C1246" s="25"/>
      <c r="D1246" s="11"/>
      <c r="E1246" s="36" t="s">
        <v>1451</v>
      </c>
      <c r="F1246" s="11"/>
      <c r="G1246" s="65" t="s">
        <v>13</v>
      </c>
      <c r="H1246" s="11" t="s">
        <v>1909</v>
      </c>
      <c r="I1246" s="11" t="s">
        <v>1909</v>
      </c>
      <c r="J1246" s="12" t="s">
        <v>13</v>
      </c>
      <c r="K1246" s="11"/>
    </row>
    <row r="1247" spans="1:11" s="14" customFormat="1" ht="72" x14ac:dyDescent="0.25">
      <c r="A1247" s="36">
        <v>5209</v>
      </c>
      <c r="B1247" s="13" t="s">
        <v>1910</v>
      </c>
      <c r="C1247" s="25"/>
      <c r="D1247" s="11"/>
      <c r="E1247" s="36" t="s">
        <v>1451</v>
      </c>
      <c r="F1247" s="11"/>
      <c r="G1247" s="65" t="s">
        <v>13</v>
      </c>
      <c r="H1247" s="11" t="s">
        <v>1911</v>
      </c>
      <c r="I1247" s="11" t="s">
        <v>1912</v>
      </c>
      <c r="J1247" s="12" t="s">
        <v>13</v>
      </c>
      <c r="K1247" s="11"/>
    </row>
    <row r="1248" spans="1:11" s="14" customFormat="1" ht="72" x14ac:dyDescent="0.25">
      <c r="A1248" s="36">
        <v>5210</v>
      </c>
      <c r="B1248" s="13" t="s">
        <v>1913</v>
      </c>
      <c r="C1248" s="25"/>
      <c r="D1248" s="11"/>
      <c r="E1248" s="36" t="s">
        <v>1451</v>
      </c>
      <c r="F1248" s="11"/>
      <c r="G1248" s="65" t="s">
        <v>13</v>
      </c>
      <c r="H1248" s="11" t="s">
        <v>1914</v>
      </c>
      <c r="I1248" s="11" t="s">
        <v>1915</v>
      </c>
      <c r="J1248" s="12" t="s">
        <v>13</v>
      </c>
      <c r="K1248" s="11"/>
    </row>
    <row r="1249" spans="1:11" s="14" customFormat="1" ht="54" x14ac:dyDescent="0.25">
      <c r="A1249" s="36">
        <v>5211</v>
      </c>
      <c r="B1249" s="13" t="s">
        <v>1916</v>
      </c>
      <c r="C1249" s="25"/>
      <c r="D1249" s="11"/>
      <c r="E1249" s="36" t="s">
        <v>1451</v>
      </c>
      <c r="F1249" s="11"/>
      <c r="G1249" s="65" t="s">
        <v>13</v>
      </c>
      <c r="H1249" s="11" t="s">
        <v>1917</v>
      </c>
      <c r="I1249" s="11" t="s">
        <v>1918</v>
      </c>
      <c r="J1249" s="12" t="s">
        <v>13</v>
      </c>
      <c r="K1249" s="11"/>
    </row>
    <row r="1250" spans="1:11" s="14" customFormat="1" ht="54" x14ac:dyDescent="0.25">
      <c r="A1250" s="36">
        <v>5212</v>
      </c>
      <c r="B1250" s="13" t="s">
        <v>1919</v>
      </c>
      <c r="C1250" s="25"/>
      <c r="D1250" s="11"/>
      <c r="E1250" s="36" t="s">
        <v>1451</v>
      </c>
      <c r="F1250" s="11"/>
      <c r="G1250" s="65" t="s">
        <v>13</v>
      </c>
      <c r="H1250" s="11" t="s">
        <v>1920</v>
      </c>
      <c r="I1250" s="11" t="s">
        <v>1921</v>
      </c>
      <c r="J1250" s="12" t="s">
        <v>13</v>
      </c>
      <c r="K1250" s="11"/>
    </row>
    <row r="1251" spans="1:11" s="14" customFormat="1" ht="90" x14ac:dyDescent="0.25">
      <c r="A1251" s="36">
        <v>5213</v>
      </c>
      <c r="B1251" s="13" t="s">
        <v>1922</v>
      </c>
      <c r="C1251" s="25"/>
      <c r="D1251" s="11"/>
      <c r="E1251" s="36">
        <v>4</v>
      </c>
      <c r="F1251" s="11"/>
      <c r="G1251" s="65" t="s">
        <v>13</v>
      </c>
      <c r="H1251" s="11" t="s">
        <v>1923</v>
      </c>
      <c r="I1251" s="13" t="s">
        <v>1924</v>
      </c>
      <c r="J1251" s="12" t="s">
        <v>13</v>
      </c>
      <c r="K1251" s="11"/>
    </row>
    <row r="1252" spans="1:11" s="14" customFormat="1" ht="206.45" customHeight="1" x14ac:dyDescent="0.25">
      <c r="A1252" s="36">
        <v>5214</v>
      </c>
      <c r="B1252" s="13" t="s">
        <v>1925</v>
      </c>
      <c r="C1252" s="25"/>
      <c r="D1252" s="11"/>
      <c r="E1252" s="36">
        <v>3</v>
      </c>
      <c r="F1252" s="11"/>
      <c r="G1252" s="65" t="s">
        <v>13</v>
      </c>
      <c r="H1252" s="11" t="s">
        <v>1926</v>
      </c>
      <c r="I1252" s="13" t="s">
        <v>1927</v>
      </c>
      <c r="J1252" s="12" t="s">
        <v>13</v>
      </c>
      <c r="K1252" s="11"/>
    </row>
    <row r="1253" spans="1:11" s="14" customFormat="1" ht="222" customHeight="1" x14ac:dyDescent="0.25">
      <c r="A1253" s="36">
        <v>5215</v>
      </c>
      <c r="B1253" s="13" t="s">
        <v>1928</v>
      </c>
      <c r="C1253" s="25"/>
      <c r="D1253" s="11"/>
      <c r="E1253" s="36">
        <v>3</v>
      </c>
      <c r="F1253" s="11"/>
      <c r="G1253" s="65" t="s">
        <v>13</v>
      </c>
      <c r="H1253" s="11" t="s">
        <v>1929</v>
      </c>
      <c r="I1253" s="13" t="s">
        <v>1930</v>
      </c>
      <c r="J1253" s="12" t="s">
        <v>13</v>
      </c>
      <c r="K1253" s="11"/>
    </row>
    <row r="1254" spans="1:11" s="14" customFormat="1" ht="54" x14ac:dyDescent="0.25">
      <c r="A1254" s="36">
        <v>5216</v>
      </c>
      <c r="B1254" s="13" t="s">
        <v>1931</v>
      </c>
      <c r="C1254" s="25"/>
      <c r="D1254" s="11"/>
      <c r="E1254" s="36">
        <v>4</v>
      </c>
      <c r="F1254" s="11"/>
      <c r="G1254" s="65" t="s">
        <v>13</v>
      </c>
      <c r="H1254" s="11" t="s">
        <v>1932</v>
      </c>
      <c r="I1254" s="11" t="s">
        <v>1933</v>
      </c>
      <c r="J1254" s="12" t="s">
        <v>13</v>
      </c>
      <c r="K1254" s="11"/>
    </row>
    <row r="1255" spans="1:11" s="14" customFormat="1" ht="54" x14ac:dyDescent="0.25">
      <c r="A1255" s="36">
        <v>5217</v>
      </c>
      <c r="B1255" s="21" t="s">
        <v>1934</v>
      </c>
      <c r="C1255" s="25"/>
      <c r="D1255" s="11"/>
      <c r="E1255" s="36">
        <v>2</v>
      </c>
      <c r="F1255" s="11"/>
      <c r="G1255" s="65" t="s">
        <v>13</v>
      </c>
      <c r="H1255" s="11" t="s">
        <v>1935</v>
      </c>
      <c r="I1255" s="11" t="s">
        <v>1936</v>
      </c>
      <c r="J1255" s="12" t="s">
        <v>13</v>
      </c>
      <c r="K1255" s="11"/>
    </row>
    <row r="1256" spans="1:11" s="14" customFormat="1" ht="241.35" customHeight="1" x14ac:dyDescent="0.25">
      <c r="A1256" s="36">
        <v>5218</v>
      </c>
      <c r="B1256" s="13" t="s">
        <v>1937</v>
      </c>
      <c r="C1256" s="25"/>
      <c r="D1256" s="11"/>
      <c r="E1256" s="36">
        <v>12</v>
      </c>
      <c r="F1256" s="11"/>
      <c r="G1256" s="65" t="s">
        <v>13</v>
      </c>
      <c r="H1256" s="11" t="s">
        <v>1938</v>
      </c>
      <c r="I1256" s="13" t="s">
        <v>1591</v>
      </c>
      <c r="J1256" s="12" t="s">
        <v>13</v>
      </c>
      <c r="K1256" s="11"/>
    </row>
    <row r="1257" spans="1:11" s="14" customFormat="1" ht="225" customHeight="1" x14ac:dyDescent="0.25">
      <c r="A1257" s="36">
        <v>5219</v>
      </c>
      <c r="B1257" s="13" t="s">
        <v>1939</v>
      </c>
      <c r="C1257" s="25"/>
      <c r="D1257" s="11"/>
      <c r="E1257" s="36">
        <v>6</v>
      </c>
      <c r="F1257" s="11"/>
      <c r="G1257" s="65" t="s">
        <v>13</v>
      </c>
      <c r="H1257" s="11" t="s">
        <v>1940</v>
      </c>
      <c r="I1257" s="13" t="s">
        <v>1941</v>
      </c>
      <c r="J1257" s="12" t="s">
        <v>13</v>
      </c>
      <c r="K1257" s="11"/>
    </row>
    <row r="1258" spans="1:11" s="14" customFormat="1" ht="36" x14ac:dyDescent="0.25">
      <c r="A1258" s="36">
        <v>5220</v>
      </c>
      <c r="B1258" s="13" t="s">
        <v>1942</v>
      </c>
      <c r="C1258" s="25"/>
      <c r="D1258" s="11"/>
      <c r="E1258" s="36">
        <v>3</v>
      </c>
      <c r="F1258" s="11"/>
      <c r="G1258" s="65" t="s">
        <v>13</v>
      </c>
      <c r="H1258" s="11" t="s">
        <v>1943</v>
      </c>
      <c r="I1258" s="11" t="s">
        <v>1944</v>
      </c>
      <c r="J1258" s="12" t="s">
        <v>13</v>
      </c>
      <c r="K1258" s="11"/>
    </row>
    <row r="1259" spans="1:11" s="14" customFormat="1" ht="54" x14ac:dyDescent="0.25">
      <c r="A1259" s="36">
        <v>5221</v>
      </c>
      <c r="B1259" s="13" t="s">
        <v>1945</v>
      </c>
      <c r="C1259" s="25"/>
      <c r="D1259" s="11"/>
      <c r="E1259" s="36" t="s">
        <v>1451</v>
      </c>
      <c r="F1259" s="11"/>
      <c r="G1259" s="65" t="s">
        <v>13</v>
      </c>
      <c r="H1259" s="11" t="s">
        <v>1946</v>
      </c>
      <c r="I1259" s="11" t="s">
        <v>1947</v>
      </c>
      <c r="J1259" s="12" t="s">
        <v>13</v>
      </c>
      <c r="K1259" s="11"/>
    </row>
    <row r="1260" spans="1:11" s="14" customFormat="1" ht="72" x14ac:dyDescent="0.25">
      <c r="A1260" s="36">
        <v>5222</v>
      </c>
      <c r="B1260" s="13" t="s">
        <v>1948</v>
      </c>
      <c r="C1260" s="25"/>
      <c r="D1260" s="11"/>
      <c r="E1260" s="36" t="s">
        <v>1451</v>
      </c>
      <c r="F1260" s="11"/>
      <c r="G1260" s="65" t="s">
        <v>13</v>
      </c>
      <c r="H1260" s="11" t="s">
        <v>1949</v>
      </c>
      <c r="I1260" s="11" t="s">
        <v>1950</v>
      </c>
      <c r="J1260" s="12" t="s">
        <v>13</v>
      </c>
      <c r="K1260" s="11"/>
    </row>
    <row r="1261" spans="1:11" s="14" customFormat="1" ht="72" x14ac:dyDescent="0.25">
      <c r="A1261" s="36">
        <v>5223</v>
      </c>
      <c r="B1261" s="13" t="s">
        <v>1951</v>
      </c>
      <c r="C1261" s="25"/>
      <c r="D1261" s="11"/>
      <c r="E1261" s="36" t="s">
        <v>1451</v>
      </c>
      <c r="F1261" s="11"/>
      <c r="G1261" s="65" t="s">
        <v>13</v>
      </c>
      <c r="H1261" s="11" t="s">
        <v>1952</v>
      </c>
      <c r="I1261" s="11" t="s">
        <v>1953</v>
      </c>
      <c r="J1261" s="12" t="s">
        <v>13</v>
      </c>
      <c r="K1261" s="11"/>
    </row>
    <row r="1262" spans="1:11" s="14" customFormat="1" ht="91.7" customHeight="1" x14ac:dyDescent="0.25">
      <c r="A1262" s="36">
        <v>5224</v>
      </c>
      <c r="B1262" s="13" t="s">
        <v>1954</v>
      </c>
      <c r="C1262" s="25"/>
      <c r="D1262" s="11"/>
      <c r="E1262" s="36">
        <v>6</v>
      </c>
      <c r="F1262" s="11"/>
      <c r="G1262" s="65" t="s">
        <v>13</v>
      </c>
      <c r="H1262" s="11" t="s">
        <v>1955</v>
      </c>
      <c r="I1262" s="13" t="s">
        <v>1956</v>
      </c>
      <c r="J1262" s="12" t="s">
        <v>13</v>
      </c>
      <c r="K1262" s="11"/>
    </row>
    <row r="1263" spans="1:11" s="14" customFormat="1" ht="54" x14ac:dyDescent="0.25">
      <c r="A1263" s="36">
        <v>5225</v>
      </c>
      <c r="B1263" s="13" t="s">
        <v>1957</v>
      </c>
      <c r="C1263" s="25"/>
      <c r="D1263" s="11"/>
      <c r="E1263" s="36">
        <v>4</v>
      </c>
      <c r="F1263" s="11"/>
      <c r="G1263" s="65" t="s">
        <v>13</v>
      </c>
      <c r="H1263" s="11" t="s">
        <v>1958</v>
      </c>
      <c r="I1263" s="11" t="s">
        <v>1959</v>
      </c>
      <c r="J1263" s="12" t="s">
        <v>13</v>
      </c>
      <c r="K1263" s="11"/>
    </row>
    <row r="1264" spans="1:11" s="14" customFormat="1" ht="57" customHeight="1" x14ac:dyDescent="0.25">
      <c r="A1264" s="36">
        <v>5226</v>
      </c>
      <c r="B1264" s="13" t="s">
        <v>1960</v>
      </c>
      <c r="C1264" s="25"/>
      <c r="D1264" s="11"/>
      <c r="E1264" s="36" t="s">
        <v>1451</v>
      </c>
      <c r="F1264" s="11"/>
      <c r="G1264" s="65" t="s">
        <v>13</v>
      </c>
      <c r="H1264" s="11" t="s">
        <v>1961</v>
      </c>
      <c r="I1264" s="11" t="s">
        <v>1962</v>
      </c>
      <c r="J1264" s="12" t="s">
        <v>13</v>
      </c>
      <c r="K1264" s="11"/>
    </row>
    <row r="1265" spans="1:11" s="14" customFormat="1" ht="72" x14ac:dyDescent="0.25">
      <c r="A1265" s="36">
        <v>5227</v>
      </c>
      <c r="B1265" s="13" t="s">
        <v>1963</v>
      </c>
      <c r="C1265" s="25"/>
      <c r="D1265" s="11"/>
      <c r="E1265" s="36" t="s">
        <v>1451</v>
      </c>
      <c r="F1265" s="11"/>
      <c r="G1265" s="65" t="s">
        <v>13</v>
      </c>
      <c r="H1265" s="11" t="s">
        <v>1964</v>
      </c>
      <c r="I1265" s="11" t="s">
        <v>1965</v>
      </c>
      <c r="J1265" s="12" t="s">
        <v>13</v>
      </c>
      <c r="K1265" s="11"/>
    </row>
    <row r="1266" spans="1:11" s="14" customFormat="1" ht="90" x14ac:dyDescent="0.25">
      <c r="A1266" s="36">
        <v>5228</v>
      </c>
      <c r="B1266" s="13" t="s">
        <v>1966</v>
      </c>
      <c r="C1266" s="25"/>
      <c r="D1266" s="11"/>
      <c r="E1266" s="36" t="s">
        <v>1451</v>
      </c>
      <c r="F1266" s="11"/>
      <c r="G1266" s="65" t="s">
        <v>13</v>
      </c>
      <c r="H1266" s="11" t="s">
        <v>1967</v>
      </c>
      <c r="I1266" s="11" t="s">
        <v>1968</v>
      </c>
      <c r="J1266" s="12" t="s">
        <v>13</v>
      </c>
      <c r="K1266" s="11"/>
    </row>
    <row r="1267" spans="1:11" s="14" customFormat="1" ht="114.6" customHeight="1" x14ac:dyDescent="0.25">
      <c r="A1267" s="36">
        <v>5229</v>
      </c>
      <c r="B1267" s="13" t="s">
        <v>1969</v>
      </c>
      <c r="C1267" s="25"/>
      <c r="D1267" s="11"/>
      <c r="E1267" s="36">
        <v>98</v>
      </c>
      <c r="F1267" s="11"/>
      <c r="G1267" s="65" t="s">
        <v>13</v>
      </c>
      <c r="H1267" s="11" t="s">
        <v>1970</v>
      </c>
      <c r="I1267" s="13" t="s">
        <v>1971</v>
      </c>
      <c r="J1267" s="12" t="s">
        <v>13</v>
      </c>
      <c r="K1267" s="11"/>
    </row>
    <row r="1268" spans="1:11" s="14" customFormat="1" ht="169.35" customHeight="1" x14ac:dyDescent="0.25">
      <c r="A1268" s="36">
        <v>5230</v>
      </c>
      <c r="B1268" s="13" t="s">
        <v>1972</v>
      </c>
      <c r="C1268" s="25"/>
      <c r="D1268" s="11"/>
      <c r="E1268" s="36">
        <v>350</v>
      </c>
      <c r="F1268" s="11"/>
      <c r="G1268" s="65" t="s">
        <v>13</v>
      </c>
      <c r="H1268" s="11" t="s">
        <v>1973</v>
      </c>
      <c r="I1268" s="13" t="s">
        <v>1974</v>
      </c>
      <c r="J1268" s="12" t="s">
        <v>13</v>
      </c>
      <c r="K1268" s="11"/>
    </row>
    <row r="1269" spans="1:11" s="14" customFormat="1" ht="187.7" customHeight="1" x14ac:dyDescent="0.25">
      <c r="A1269" s="36">
        <v>5231</v>
      </c>
      <c r="B1269" s="13" t="s">
        <v>1975</v>
      </c>
      <c r="C1269" s="25"/>
      <c r="D1269" s="11"/>
      <c r="E1269" s="36">
        <v>440</v>
      </c>
      <c r="F1269" s="11"/>
      <c r="G1269" s="65" t="s">
        <v>13</v>
      </c>
      <c r="H1269" s="11" t="s">
        <v>1976</v>
      </c>
      <c r="I1269" s="13" t="s">
        <v>1977</v>
      </c>
      <c r="J1269" s="12" t="s">
        <v>13</v>
      </c>
      <c r="K1269" s="11"/>
    </row>
    <row r="1270" spans="1:11" s="14" customFormat="1" ht="144" x14ac:dyDescent="0.25">
      <c r="A1270" s="36">
        <v>5232</v>
      </c>
      <c r="B1270" s="13" t="s">
        <v>1978</v>
      </c>
      <c r="C1270" s="25"/>
      <c r="D1270" s="11"/>
      <c r="E1270" s="36">
        <v>348</v>
      </c>
      <c r="F1270" s="11"/>
      <c r="G1270" s="65" t="s">
        <v>13</v>
      </c>
      <c r="H1270" s="11" t="s">
        <v>1979</v>
      </c>
      <c r="I1270" s="13" t="s">
        <v>1980</v>
      </c>
      <c r="J1270" s="12" t="s">
        <v>13</v>
      </c>
      <c r="K1270" s="11"/>
    </row>
    <row r="1271" spans="1:11" s="14" customFormat="1" ht="108" x14ac:dyDescent="0.25">
      <c r="A1271" s="36">
        <v>5233</v>
      </c>
      <c r="B1271" s="13" t="s">
        <v>1981</v>
      </c>
      <c r="C1271" s="25"/>
      <c r="D1271" s="11"/>
      <c r="E1271" s="36">
        <v>198</v>
      </c>
      <c r="F1271" s="11"/>
      <c r="G1271" s="65" t="s">
        <v>13</v>
      </c>
      <c r="H1271" s="11" t="s">
        <v>1982</v>
      </c>
      <c r="I1271" s="13" t="s">
        <v>1983</v>
      </c>
      <c r="J1271" s="12" t="s">
        <v>13</v>
      </c>
      <c r="K1271" s="11"/>
    </row>
    <row r="1272" spans="1:11" s="14" customFormat="1" ht="117" customHeight="1" x14ac:dyDescent="0.25">
      <c r="A1272" s="36">
        <v>5234</v>
      </c>
      <c r="B1272" s="13" t="s">
        <v>1984</v>
      </c>
      <c r="C1272" s="25"/>
      <c r="D1272" s="11"/>
      <c r="E1272" s="36">
        <v>198</v>
      </c>
      <c r="F1272" s="11"/>
      <c r="G1272" s="65" t="s">
        <v>13</v>
      </c>
      <c r="H1272" s="11" t="s">
        <v>1985</v>
      </c>
      <c r="I1272" s="11" t="s">
        <v>1985</v>
      </c>
      <c r="J1272" s="12" t="s">
        <v>13</v>
      </c>
      <c r="K1272" s="11"/>
    </row>
    <row r="1273" spans="1:11" s="14" customFormat="1" ht="82.7" customHeight="1" x14ac:dyDescent="0.25">
      <c r="A1273" s="36">
        <v>5235</v>
      </c>
      <c r="B1273" s="13" t="s">
        <v>1986</v>
      </c>
      <c r="C1273" s="25"/>
      <c r="D1273" s="11"/>
      <c r="E1273" s="36">
        <v>24</v>
      </c>
      <c r="F1273" s="11"/>
      <c r="G1273" s="65" t="s">
        <v>13</v>
      </c>
      <c r="H1273" s="11" t="s">
        <v>1987</v>
      </c>
      <c r="I1273" s="13" t="s">
        <v>1988</v>
      </c>
      <c r="J1273" s="12" t="s">
        <v>13</v>
      </c>
      <c r="K1273" s="11"/>
    </row>
    <row r="1274" spans="1:11" s="14" customFormat="1" ht="108" x14ac:dyDescent="0.25">
      <c r="A1274" s="36">
        <v>5236</v>
      </c>
      <c r="B1274" s="13" t="s">
        <v>1989</v>
      </c>
      <c r="C1274" s="25"/>
      <c r="D1274" s="11"/>
      <c r="E1274" s="36">
        <v>28</v>
      </c>
      <c r="F1274" s="11"/>
      <c r="G1274" s="65" t="s">
        <v>13</v>
      </c>
      <c r="H1274" s="11" t="s">
        <v>1990</v>
      </c>
      <c r="I1274" s="13" t="s">
        <v>1991</v>
      </c>
      <c r="J1274" s="12" t="s">
        <v>13</v>
      </c>
      <c r="K1274" s="11"/>
    </row>
    <row r="1275" spans="1:11" s="14" customFormat="1" ht="144" x14ac:dyDescent="0.25">
      <c r="A1275" s="36">
        <v>5237</v>
      </c>
      <c r="B1275" s="13" t="s">
        <v>1992</v>
      </c>
      <c r="C1275" s="25"/>
      <c r="D1275" s="11"/>
      <c r="E1275" s="36">
        <v>48</v>
      </c>
      <c r="F1275" s="11"/>
      <c r="G1275" s="65" t="s">
        <v>13</v>
      </c>
      <c r="H1275" s="11" t="s">
        <v>784</v>
      </c>
      <c r="I1275" s="13" t="s">
        <v>1993</v>
      </c>
      <c r="J1275" s="12" t="s">
        <v>13</v>
      </c>
      <c r="K1275" s="11"/>
    </row>
    <row r="1276" spans="1:11" s="14" customFormat="1" ht="90" x14ac:dyDescent="0.25">
      <c r="A1276" s="36">
        <v>5238</v>
      </c>
      <c r="B1276" s="13" t="s">
        <v>1994</v>
      </c>
      <c r="C1276" s="25"/>
      <c r="D1276" s="11"/>
      <c r="E1276" s="36">
        <v>8</v>
      </c>
      <c r="F1276" s="11"/>
      <c r="G1276" s="65" t="s">
        <v>13</v>
      </c>
      <c r="H1276" s="11" t="s">
        <v>1995</v>
      </c>
      <c r="I1276" s="13" t="s">
        <v>1996</v>
      </c>
      <c r="J1276" s="12" t="s">
        <v>13</v>
      </c>
      <c r="K1276" s="11"/>
    </row>
    <row r="1277" spans="1:11" s="14" customFormat="1" ht="72" x14ac:dyDescent="0.25">
      <c r="A1277" s="36">
        <v>5239</v>
      </c>
      <c r="B1277" s="13" t="s">
        <v>1997</v>
      </c>
      <c r="C1277" s="25"/>
      <c r="D1277" s="11"/>
      <c r="E1277" s="36">
        <v>3</v>
      </c>
      <c r="F1277" s="11"/>
      <c r="G1277" s="65" t="s">
        <v>13</v>
      </c>
      <c r="H1277" s="11" t="s">
        <v>1998</v>
      </c>
      <c r="I1277" s="13" t="s">
        <v>1999</v>
      </c>
      <c r="J1277" s="12" t="s">
        <v>13</v>
      </c>
      <c r="K1277" s="11"/>
    </row>
    <row r="1278" spans="1:11" s="14" customFormat="1" ht="292.7" customHeight="1" x14ac:dyDescent="0.25">
      <c r="A1278" s="36">
        <v>5240</v>
      </c>
      <c r="B1278" s="13" t="s">
        <v>2000</v>
      </c>
      <c r="C1278" s="25"/>
      <c r="D1278" s="11"/>
      <c r="E1278" s="36">
        <v>448</v>
      </c>
      <c r="F1278" s="11"/>
      <c r="G1278" s="65" t="s">
        <v>13</v>
      </c>
      <c r="H1278" s="11" t="s">
        <v>2001</v>
      </c>
      <c r="I1278" s="11" t="s">
        <v>2001</v>
      </c>
      <c r="J1278" s="12" t="s">
        <v>13</v>
      </c>
      <c r="K1278" s="11"/>
    </row>
    <row r="1279" spans="1:11" s="14" customFormat="1" ht="72" x14ac:dyDescent="0.25">
      <c r="A1279" s="36">
        <v>5241</v>
      </c>
      <c r="B1279" s="13" t="s">
        <v>2002</v>
      </c>
      <c r="C1279" s="25"/>
      <c r="D1279" s="11"/>
      <c r="E1279" s="36">
        <v>18</v>
      </c>
      <c r="F1279" s="11"/>
      <c r="G1279" s="65" t="s">
        <v>13</v>
      </c>
      <c r="H1279" s="11" t="s">
        <v>2003</v>
      </c>
      <c r="I1279" s="13" t="s">
        <v>2004</v>
      </c>
      <c r="J1279" s="12" t="s">
        <v>13</v>
      </c>
      <c r="K1279" s="11"/>
    </row>
    <row r="1280" spans="1:11" s="14" customFormat="1" ht="108" x14ac:dyDescent="0.25">
      <c r="A1280" s="36">
        <v>5242</v>
      </c>
      <c r="B1280" s="13" t="s">
        <v>2005</v>
      </c>
      <c r="C1280" s="25"/>
      <c r="D1280" s="11"/>
      <c r="E1280" s="36">
        <v>98</v>
      </c>
      <c r="F1280" s="11"/>
      <c r="G1280" s="65" t="s">
        <v>13</v>
      </c>
      <c r="H1280" s="11" t="s">
        <v>2006</v>
      </c>
      <c r="I1280" s="13" t="s">
        <v>2007</v>
      </c>
      <c r="J1280" s="12" t="s">
        <v>13</v>
      </c>
      <c r="K1280" s="11"/>
    </row>
    <row r="1281" spans="1:11" s="14" customFormat="1" ht="257.45" customHeight="1" x14ac:dyDescent="0.25">
      <c r="A1281" s="36">
        <v>5243</v>
      </c>
      <c r="B1281" s="13" t="s">
        <v>2008</v>
      </c>
      <c r="C1281" s="25"/>
      <c r="D1281" s="11"/>
      <c r="E1281" s="36">
        <v>248</v>
      </c>
      <c r="F1281" s="11"/>
      <c r="G1281" s="65" t="s">
        <v>13</v>
      </c>
      <c r="H1281" s="11" t="s">
        <v>2009</v>
      </c>
      <c r="I1281" s="11" t="s">
        <v>2010</v>
      </c>
      <c r="J1281" s="12" t="s">
        <v>13</v>
      </c>
      <c r="K1281" s="11"/>
    </row>
    <row r="1282" spans="1:11" s="14" customFormat="1" ht="116.45" customHeight="1" x14ac:dyDescent="0.25">
      <c r="A1282" s="36">
        <v>5244</v>
      </c>
      <c r="B1282" s="13" t="s">
        <v>2011</v>
      </c>
      <c r="C1282" s="25"/>
      <c r="D1282" s="11"/>
      <c r="E1282" s="36">
        <v>248</v>
      </c>
      <c r="F1282" s="11"/>
      <c r="G1282" s="65" t="s">
        <v>13</v>
      </c>
      <c r="H1282" s="11" t="s">
        <v>2012</v>
      </c>
      <c r="I1282" s="13" t="s">
        <v>2013</v>
      </c>
      <c r="J1282" s="12" t="s">
        <v>13</v>
      </c>
      <c r="K1282" s="11"/>
    </row>
    <row r="1283" spans="1:11" s="14" customFormat="1" ht="90" x14ac:dyDescent="0.25">
      <c r="A1283" s="36">
        <v>5245</v>
      </c>
      <c r="B1283" s="13" t="s">
        <v>2014</v>
      </c>
      <c r="C1283" s="25"/>
      <c r="D1283" s="11"/>
      <c r="E1283" s="36">
        <v>250</v>
      </c>
      <c r="F1283" s="11"/>
      <c r="G1283" s="65" t="s">
        <v>13</v>
      </c>
      <c r="H1283" s="11" t="s">
        <v>2015</v>
      </c>
      <c r="I1283" s="13" t="s">
        <v>2016</v>
      </c>
      <c r="J1283" s="12" t="s">
        <v>13</v>
      </c>
      <c r="K1283" s="11"/>
    </row>
    <row r="1284" spans="1:11" s="14" customFormat="1" ht="90" x14ac:dyDescent="0.25">
      <c r="A1284" s="36">
        <v>5246</v>
      </c>
      <c r="B1284" s="13" t="s">
        <v>2017</v>
      </c>
      <c r="C1284" s="25"/>
      <c r="D1284" s="11"/>
      <c r="E1284" s="36">
        <v>248</v>
      </c>
      <c r="F1284" s="11"/>
      <c r="G1284" s="65" t="s">
        <v>13</v>
      </c>
      <c r="H1284" s="11" t="s">
        <v>2018</v>
      </c>
      <c r="I1284" s="13" t="s">
        <v>2019</v>
      </c>
      <c r="J1284" s="12" t="s">
        <v>13</v>
      </c>
      <c r="K1284" s="11"/>
    </row>
    <row r="1285" spans="1:11" s="14" customFormat="1" ht="90" x14ac:dyDescent="0.25">
      <c r="A1285" s="36">
        <v>5247</v>
      </c>
      <c r="B1285" s="13" t="s">
        <v>2020</v>
      </c>
      <c r="C1285" s="25"/>
      <c r="D1285" s="11"/>
      <c r="E1285" s="36">
        <v>248</v>
      </c>
      <c r="F1285" s="11"/>
      <c r="G1285" s="65" t="s">
        <v>13</v>
      </c>
      <c r="H1285" s="11" t="s">
        <v>2021</v>
      </c>
      <c r="I1285" s="13" t="s">
        <v>2022</v>
      </c>
      <c r="J1285" s="12" t="s">
        <v>13</v>
      </c>
      <c r="K1285" s="11"/>
    </row>
    <row r="1286" spans="1:11" s="14" customFormat="1" ht="162" x14ac:dyDescent="0.25">
      <c r="A1286" s="36">
        <v>5248</v>
      </c>
      <c r="B1286" s="13" t="s">
        <v>2023</v>
      </c>
      <c r="C1286" s="25"/>
      <c r="D1286" s="11"/>
      <c r="E1286" s="36">
        <v>248</v>
      </c>
      <c r="F1286" s="11"/>
      <c r="G1286" s="65" t="s">
        <v>13</v>
      </c>
      <c r="H1286" s="11" t="s">
        <v>2024</v>
      </c>
      <c r="I1286" s="13" t="s">
        <v>2025</v>
      </c>
      <c r="J1286" s="12" t="s">
        <v>13</v>
      </c>
      <c r="K1286" s="11"/>
    </row>
    <row r="1287" spans="1:11" s="14" customFormat="1" ht="54" x14ac:dyDescent="0.25">
      <c r="A1287" s="36">
        <v>5249</v>
      </c>
      <c r="B1287" s="13" t="s">
        <v>2026</v>
      </c>
      <c r="C1287" s="25"/>
      <c r="D1287" s="11"/>
      <c r="E1287" s="36">
        <v>18</v>
      </c>
      <c r="F1287" s="11"/>
      <c r="G1287" s="65" t="s">
        <v>13</v>
      </c>
      <c r="H1287" s="11" t="s">
        <v>2027</v>
      </c>
      <c r="I1287" s="13" t="s">
        <v>2028</v>
      </c>
      <c r="J1287" s="12" t="s">
        <v>13</v>
      </c>
      <c r="K1287" s="11"/>
    </row>
    <row r="1288" spans="1:11" s="14" customFormat="1" ht="72" x14ac:dyDescent="0.25">
      <c r="A1288" s="36">
        <v>5250</v>
      </c>
      <c r="B1288" s="13" t="s">
        <v>2029</v>
      </c>
      <c r="C1288" s="25"/>
      <c r="D1288" s="11"/>
      <c r="E1288" s="36">
        <v>12</v>
      </c>
      <c r="F1288" s="11"/>
      <c r="G1288" s="65" t="s">
        <v>13</v>
      </c>
      <c r="H1288" s="11" t="s">
        <v>2030</v>
      </c>
      <c r="I1288" s="13" t="s">
        <v>2031</v>
      </c>
      <c r="J1288" s="12" t="s">
        <v>13</v>
      </c>
      <c r="K1288" s="11"/>
    </row>
    <row r="1289" spans="1:11" s="14" customFormat="1" ht="72" x14ac:dyDescent="0.25">
      <c r="A1289" s="36">
        <v>5251</v>
      </c>
      <c r="B1289" s="13" t="s">
        <v>2032</v>
      </c>
      <c r="C1289" s="25"/>
      <c r="D1289" s="11"/>
      <c r="E1289" s="36">
        <v>24</v>
      </c>
      <c r="F1289" s="11"/>
      <c r="G1289" s="65" t="s">
        <v>13</v>
      </c>
      <c r="H1289" s="11" t="s">
        <v>2033</v>
      </c>
      <c r="I1289" s="13" t="s">
        <v>2034</v>
      </c>
      <c r="J1289" s="12" t="s">
        <v>13</v>
      </c>
      <c r="K1289" s="11"/>
    </row>
    <row r="1290" spans="1:11" s="14" customFormat="1" ht="74.45" customHeight="1" x14ac:dyDescent="0.25">
      <c r="A1290" s="36">
        <v>5252</v>
      </c>
      <c r="B1290" s="13" t="s">
        <v>2035</v>
      </c>
      <c r="C1290" s="25"/>
      <c r="D1290" s="11"/>
      <c r="E1290" s="36">
        <v>12</v>
      </c>
      <c r="F1290" s="11"/>
      <c r="G1290" s="65" t="s">
        <v>13</v>
      </c>
      <c r="H1290" s="11" t="s">
        <v>2036</v>
      </c>
      <c r="I1290" s="13" t="s">
        <v>2037</v>
      </c>
      <c r="J1290" s="12" t="s">
        <v>13</v>
      </c>
      <c r="K1290" s="11"/>
    </row>
    <row r="1291" spans="1:11" s="14" customFormat="1" ht="114" customHeight="1" x14ac:dyDescent="0.25">
      <c r="A1291" s="36">
        <v>5253</v>
      </c>
      <c r="B1291" s="13" t="s">
        <v>2038</v>
      </c>
      <c r="C1291" s="25"/>
      <c r="D1291" s="11"/>
      <c r="E1291" s="36">
        <v>48</v>
      </c>
      <c r="F1291" s="11"/>
      <c r="G1291" s="65" t="s">
        <v>13</v>
      </c>
      <c r="H1291" s="11" t="s">
        <v>2039</v>
      </c>
      <c r="I1291" s="11" t="s">
        <v>2040</v>
      </c>
      <c r="J1291" s="12" t="s">
        <v>13</v>
      </c>
      <c r="K1291" s="11"/>
    </row>
    <row r="1292" spans="1:11" s="14" customFormat="1" ht="90" x14ac:dyDescent="0.25">
      <c r="A1292" s="36">
        <v>5254</v>
      </c>
      <c r="B1292" s="13" t="s">
        <v>2041</v>
      </c>
      <c r="C1292" s="25"/>
      <c r="D1292" s="11"/>
      <c r="E1292" s="36">
        <v>8</v>
      </c>
      <c r="F1292" s="11"/>
      <c r="G1292" s="65" t="s">
        <v>13</v>
      </c>
      <c r="H1292" s="11" t="s">
        <v>2042</v>
      </c>
      <c r="I1292" s="11" t="s">
        <v>2043</v>
      </c>
      <c r="J1292" s="12" t="s">
        <v>13</v>
      </c>
      <c r="K1292" s="11"/>
    </row>
    <row r="1293" spans="1:11" s="14" customFormat="1" ht="126" x14ac:dyDescent="0.25">
      <c r="A1293" s="36">
        <v>5255</v>
      </c>
      <c r="B1293" s="13" t="s">
        <v>2044</v>
      </c>
      <c r="C1293" s="25"/>
      <c r="D1293" s="11"/>
      <c r="E1293" s="36">
        <v>36</v>
      </c>
      <c r="F1293" s="11"/>
      <c r="G1293" s="65" t="s">
        <v>13</v>
      </c>
      <c r="H1293" s="11" t="s">
        <v>2045</v>
      </c>
      <c r="I1293" s="11" t="s">
        <v>2046</v>
      </c>
      <c r="J1293" s="12" t="s">
        <v>13</v>
      </c>
      <c r="K1293" s="11"/>
    </row>
    <row r="1294" spans="1:11" s="14" customFormat="1" ht="142.69999999999999" customHeight="1" x14ac:dyDescent="0.25">
      <c r="A1294" s="36">
        <v>5256</v>
      </c>
      <c r="B1294" s="13" t="s">
        <v>2047</v>
      </c>
      <c r="C1294" s="25"/>
      <c r="D1294" s="11"/>
      <c r="E1294" s="36">
        <v>6</v>
      </c>
      <c r="F1294" s="11"/>
      <c r="G1294" s="65" t="s">
        <v>13</v>
      </c>
      <c r="H1294" s="11" t="s">
        <v>2048</v>
      </c>
      <c r="I1294" s="11" t="s">
        <v>2049</v>
      </c>
      <c r="J1294" s="12" t="s">
        <v>13</v>
      </c>
      <c r="K1294" s="11"/>
    </row>
    <row r="1295" spans="1:11" s="14" customFormat="1" ht="116.45" customHeight="1" x14ac:dyDescent="0.25">
      <c r="A1295" s="36">
        <v>5257</v>
      </c>
      <c r="B1295" s="13" t="s">
        <v>2050</v>
      </c>
      <c r="C1295" s="25"/>
      <c r="D1295" s="11"/>
      <c r="E1295" s="36">
        <v>12</v>
      </c>
      <c r="F1295" s="11"/>
      <c r="G1295" s="65" t="s">
        <v>13</v>
      </c>
      <c r="H1295" s="11" t="s">
        <v>2051</v>
      </c>
      <c r="I1295" s="11" t="s">
        <v>2052</v>
      </c>
      <c r="J1295" s="12" t="s">
        <v>13</v>
      </c>
      <c r="K1295" s="11"/>
    </row>
    <row r="1296" spans="1:11" s="14" customFormat="1" ht="90" x14ac:dyDescent="0.25">
      <c r="A1296" s="36">
        <v>5258</v>
      </c>
      <c r="B1296" s="13" t="s">
        <v>2053</v>
      </c>
      <c r="C1296" s="25"/>
      <c r="D1296" s="11"/>
      <c r="E1296" s="36">
        <v>48</v>
      </c>
      <c r="F1296" s="11"/>
      <c r="G1296" s="65" t="s">
        <v>13</v>
      </c>
      <c r="H1296" s="11" t="s">
        <v>2054</v>
      </c>
      <c r="I1296" s="11" t="s">
        <v>2055</v>
      </c>
      <c r="J1296" s="12" t="s">
        <v>13</v>
      </c>
      <c r="K1296" s="11"/>
    </row>
    <row r="1297" spans="1:11" s="14" customFormat="1" ht="90" x14ac:dyDescent="0.25">
      <c r="A1297" s="36">
        <v>5259</v>
      </c>
      <c r="B1297" s="13" t="s">
        <v>2056</v>
      </c>
      <c r="C1297" s="25"/>
      <c r="D1297" s="11"/>
      <c r="E1297" s="36">
        <v>48</v>
      </c>
      <c r="F1297" s="11"/>
      <c r="G1297" s="65" t="s">
        <v>13</v>
      </c>
      <c r="H1297" s="11" t="s">
        <v>2057</v>
      </c>
      <c r="I1297" s="11" t="s">
        <v>2058</v>
      </c>
      <c r="J1297" s="12" t="s">
        <v>13</v>
      </c>
      <c r="K1297" s="11"/>
    </row>
    <row r="1298" spans="1:11" s="14" customFormat="1" ht="108" x14ac:dyDescent="0.25">
      <c r="A1298" s="36">
        <v>5260</v>
      </c>
      <c r="B1298" s="13" t="s">
        <v>2059</v>
      </c>
      <c r="C1298" s="25"/>
      <c r="D1298" s="11"/>
      <c r="E1298" s="36">
        <v>48</v>
      </c>
      <c r="F1298" s="11"/>
      <c r="G1298" s="65" t="s">
        <v>13</v>
      </c>
      <c r="H1298" s="11" t="s">
        <v>2060</v>
      </c>
      <c r="I1298" s="11" t="s">
        <v>2061</v>
      </c>
      <c r="J1298" s="12" t="s">
        <v>13</v>
      </c>
      <c r="K1298" s="11"/>
    </row>
    <row r="1299" spans="1:11" s="14" customFormat="1" ht="63.6" customHeight="1" x14ac:dyDescent="0.25">
      <c r="A1299" s="36">
        <v>5261</v>
      </c>
      <c r="B1299" s="13" t="s">
        <v>2062</v>
      </c>
      <c r="C1299" s="25"/>
      <c r="D1299" s="11"/>
      <c r="E1299" s="36" t="s">
        <v>1451</v>
      </c>
      <c r="F1299" s="11"/>
      <c r="G1299" s="65" t="s">
        <v>13</v>
      </c>
      <c r="H1299" s="11" t="s">
        <v>2063</v>
      </c>
      <c r="I1299" s="13" t="s">
        <v>2064</v>
      </c>
      <c r="J1299" s="12" t="s">
        <v>13</v>
      </c>
      <c r="K1299" s="11"/>
    </row>
    <row r="1300" spans="1:11" s="14" customFormat="1" ht="64.349999999999994" customHeight="1" x14ac:dyDescent="0.25">
      <c r="A1300" s="36">
        <v>5262</v>
      </c>
      <c r="B1300" s="13" t="s">
        <v>2065</v>
      </c>
      <c r="C1300" s="25"/>
      <c r="D1300" s="11"/>
      <c r="E1300" s="36" t="s">
        <v>1451</v>
      </c>
      <c r="F1300" s="11"/>
      <c r="G1300" s="65" t="s">
        <v>13</v>
      </c>
      <c r="H1300" s="11" t="s">
        <v>2066</v>
      </c>
      <c r="I1300" s="13" t="s">
        <v>2067</v>
      </c>
      <c r="J1300" s="12" t="s">
        <v>13</v>
      </c>
      <c r="K1300" s="11"/>
    </row>
    <row r="1301" spans="1:11" s="14" customFormat="1" ht="72" x14ac:dyDescent="0.25">
      <c r="A1301" s="36">
        <v>5263</v>
      </c>
      <c r="B1301" s="13" t="s">
        <v>2068</v>
      </c>
      <c r="C1301" s="25"/>
      <c r="D1301" s="11"/>
      <c r="E1301" s="36">
        <v>2</v>
      </c>
      <c r="F1301" s="11"/>
      <c r="G1301" s="65" t="s">
        <v>13</v>
      </c>
      <c r="H1301" s="11" t="s">
        <v>2069</v>
      </c>
      <c r="I1301" s="13" t="s">
        <v>2070</v>
      </c>
      <c r="J1301" s="12" t="s">
        <v>13</v>
      </c>
      <c r="K1301" s="11"/>
    </row>
    <row r="1302" spans="1:11" s="14" customFormat="1" ht="72" x14ac:dyDescent="0.25">
      <c r="A1302" s="36">
        <v>5264</v>
      </c>
      <c r="B1302" s="13" t="s">
        <v>2071</v>
      </c>
      <c r="C1302" s="25"/>
      <c r="D1302" s="11"/>
      <c r="E1302" s="36">
        <v>2</v>
      </c>
      <c r="F1302" s="11"/>
      <c r="G1302" s="65" t="s">
        <v>13</v>
      </c>
      <c r="H1302" s="11" t="s">
        <v>2072</v>
      </c>
      <c r="I1302" s="13" t="s">
        <v>2073</v>
      </c>
      <c r="J1302" s="12" t="s">
        <v>13</v>
      </c>
      <c r="K1302" s="11"/>
    </row>
    <row r="1303" spans="1:11" s="14" customFormat="1" ht="90" x14ac:dyDescent="0.25">
      <c r="A1303" s="36">
        <v>5265</v>
      </c>
      <c r="B1303" s="13" t="s">
        <v>2074</v>
      </c>
      <c r="C1303" s="25"/>
      <c r="D1303" s="11"/>
      <c r="E1303" s="36">
        <v>2</v>
      </c>
      <c r="F1303" s="11"/>
      <c r="G1303" s="65" t="s">
        <v>13</v>
      </c>
      <c r="H1303" s="11" t="s">
        <v>2075</v>
      </c>
      <c r="I1303" s="13" t="s">
        <v>2076</v>
      </c>
      <c r="J1303" s="12" t="s">
        <v>13</v>
      </c>
      <c r="K1303" s="11"/>
    </row>
    <row r="1304" spans="1:11" s="14" customFormat="1" ht="93" customHeight="1" x14ac:dyDescent="0.25">
      <c r="A1304" s="36">
        <v>5266</v>
      </c>
      <c r="B1304" s="13" t="s">
        <v>2077</v>
      </c>
      <c r="C1304" s="25"/>
      <c r="D1304" s="11"/>
      <c r="E1304" s="36">
        <v>2</v>
      </c>
      <c r="F1304" s="11"/>
      <c r="G1304" s="65" t="s">
        <v>13</v>
      </c>
      <c r="H1304" s="11" t="s">
        <v>2078</v>
      </c>
      <c r="I1304" s="13" t="s">
        <v>2079</v>
      </c>
      <c r="J1304" s="12" t="s">
        <v>13</v>
      </c>
      <c r="K1304" s="11"/>
    </row>
    <row r="1305" spans="1:11" s="14" customFormat="1" ht="97.35" customHeight="1" x14ac:dyDescent="0.25">
      <c r="A1305" s="36">
        <v>5267</v>
      </c>
      <c r="B1305" s="13" t="s">
        <v>2080</v>
      </c>
      <c r="C1305" s="25"/>
      <c r="D1305" s="11"/>
      <c r="E1305" s="36">
        <v>4</v>
      </c>
      <c r="F1305" s="11"/>
      <c r="G1305" s="65" t="s">
        <v>13</v>
      </c>
      <c r="H1305" s="11" t="s">
        <v>2081</v>
      </c>
      <c r="I1305" s="13" t="s">
        <v>2082</v>
      </c>
      <c r="J1305" s="12" t="s">
        <v>13</v>
      </c>
      <c r="K1305" s="11"/>
    </row>
    <row r="1306" spans="1:11" s="14" customFormat="1" ht="75" customHeight="1" x14ac:dyDescent="0.25">
      <c r="A1306" s="36">
        <v>5268</v>
      </c>
      <c r="B1306" s="13" t="s">
        <v>2083</v>
      </c>
      <c r="C1306" s="25"/>
      <c r="D1306" s="11"/>
      <c r="E1306" s="36">
        <v>4</v>
      </c>
      <c r="F1306" s="11"/>
      <c r="G1306" s="65" t="s">
        <v>13</v>
      </c>
      <c r="H1306" s="11" t="s">
        <v>2084</v>
      </c>
      <c r="I1306" s="13" t="s">
        <v>2085</v>
      </c>
      <c r="J1306" s="12" t="s">
        <v>13</v>
      </c>
      <c r="K1306" s="11"/>
    </row>
    <row r="1307" spans="1:11" s="14" customFormat="1" ht="79.349999999999994" customHeight="1" x14ac:dyDescent="0.25">
      <c r="A1307" s="36">
        <v>5269</v>
      </c>
      <c r="B1307" s="13" t="s">
        <v>2086</v>
      </c>
      <c r="C1307" s="25"/>
      <c r="D1307" s="11"/>
      <c r="E1307" s="36">
        <v>4</v>
      </c>
      <c r="F1307" s="11"/>
      <c r="G1307" s="65" t="s">
        <v>13</v>
      </c>
      <c r="H1307" s="11" t="s">
        <v>2087</v>
      </c>
      <c r="I1307" s="13" t="s">
        <v>2088</v>
      </c>
      <c r="J1307" s="12" t="s">
        <v>13</v>
      </c>
      <c r="K1307" s="11"/>
    </row>
    <row r="1308" spans="1:11" s="14" customFormat="1" ht="151.35" customHeight="1" x14ac:dyDescent="0.25">
      <c r="A1308" s="36">
        <v>5270</v>
      </c>
      <c r="B1308" s="13" t="s">
        <v>2089</v>
      </c>
      <c r="C1308" s="25"/>
      <c r="D1308" s="11"/>
      <c r="E1308" s="36">
        <v>24</v>
      </c>
      <c r="F1308" s="11"/>
      <c r="G1308" s="65" t="s">
        <v>13</v>
      </c>
      <c r="H1308" s="11" t="s">
        <v>2090</v>
      </c>
      <c r="I1308" s="13" t="s">
        <v>2091</v>
      </c>
      <c r="J1308" s="12" t="s">
        <v>13</v>
      </c>
      <c r="K1308" s="11"/>
    </row>
    <row r="1309" spans="1:11" s="14" customFormat="1" ht="150" customHeight="1" x14ac:dyDescent="0.25">
      <c r="A1309" s="36">
        <v>5271</v>
      </c>
      <c r="B1309" s="13" t="s">
        <v>2092</v>
      </c>
      <c r="C1309" s="25"/>
      <c r="D1309" s="11"/>
      <c r="E1309" s="36">
        <v>24</v>
      </c>
      <c r="F1309" s="11"/>
      <c r="G1309" s="65" t="s">
        <v>13</v>
      </c>
      <c r="H1309" s="11" t="s">
        <v>2093</v>
      </c>
      <c r="I1309" s="13" t="s">
        <v>2094</v>
      </c>
      <c r="J1309" s="12" t="s">
        <v>13</v>
      </c>
      <c r="K1309" s="11"/>
    </row>
    <row r="1310" spans="1:11" s="14" customFormat="1" ht="72" x14ac:dyDescent="0.25">
      <c r="A1310" s="36">
        <v>5272</v>
      </c>
      <c r="B1310" s="13" t="s">
        <v>2095</v>
      </c>
      <c r="C1310" s="25"/>
      <c r="D1310" s="11"/>
      <c r="E1310" s="36">
        <v>4</v>
      </c>
      <c r="F1310" s="11"/>
      <c r="G1310" s="65" t="s">
        <v>13</v>
      </c>
      <c r="H1310" s="11" t="s">
        <v>2096</v>
      </c>
      <c r="I1310" s="13" t="s">
        <v>2097</v>
      </c>
      <c r="J1310" s="12" t="s">
        <v>13</v>
      </c>
      <c r="K1310" s="11"/>
    </row>
    <row r="1311" spans="1:11" s="14" customFormat="1" ht="72" x14ac:dyDescent="0.25">
      <c r="A1311" s="36">
        <v>5273</v>
      </c>
      <c r="B1311" s="13" t="s">
        <v>2098</v>
      </c>
      <c r="C1311" s="25"/>
      <c r="D1311" s="11"/>
      <c r="E1311" s="36">
        <v>4</v>
      </c>
      <c r="F1311" s="11"/>
      <c r="G1311" s="65" t="s">
        <v>13</v>
      </c>
      <c r="H1311" s="11" t="s">
        <v>2099</v>
      </c>
      <c r="I1311" s="13" t="s">
        <v>2100</v>
      </c>
      <c r="J1311" s="12" t="s">
        <v>13</v>
      </c>
      <c r="K1311" s="11"/>
    </row>
    <row r="1312" spans="1:11" s="14" customFormat="1" ht="108" x14ac:dyDescent="0.25">
      <c r="A1312" s="36">
        <v>5274</v>
      </c>
      <c r="B1312" s="13" t="s">
        <v>2101</v>
      </c>
      <c r="C1312" s="25"/>
      <c r="D1312" s="11"/>
      <c r="E1312" s="36">
        <v>2</v>
      </c>
      <c r="F1312" s="11"/>
      <c r="G1312" s="65" t="s">
        <v>13</v>
      </c>
      <c r="H1312" s="11" t="s">
        <v>2102</v>
      </c>
      <c r="I1312" s="13" t="s">
        <v>2103</v>
      </c>
      <c r="J1312" s="12" t="s">
        <v>13</v>
      </c>
      <c r="K1312" s="11"/>
    </row>
    <row r="1313" spans="1:11" s="14" customFormat="1" ht="108" x14ac:dyDescent="0.25">
      <c r="A1313" s="36">
        <v>5275</v>
      </c>
      <c r="B1313" s="13" t="s">
        <v>2104</v>
      </c>
      <c r="C1313" s="25"/>
      <c r="D1313" s="11"/>
      <c r="E1313" s="36">
        <v>2</v>
      </c>
      <c r="F1313" s="11"/>
      <c r="G1313" s="65" t="s">
        <v>13</v>
      </c>
      <c r="H1313" s="11" t="s">
        <v>2105</v>
      </c>
      <c r="I1313" s="13" t="s">
        <v>2106</v>
      </c>
      <c r="J1313" s="12" t="s">
        <v>13</v>
      </c>
      <c r="K1313" s="11"/>
    </row>
    <row r="1314" spans="1:11" s="14" customFormat="1" ht="144" x14ac:dyDescent="0.25">
      <c r="A1314" s="36">
        <v>5276</v>
      </c>
      <c r="B1314" s="13" t="s">
        <v>2107</v>
      </c>
      <c r="C1314" s="25"/>
      <c r="D1314" s="11"/>
      <c r="E1314" s="36">
        <v>4</v>
      </c>
      <c r="F1314" s="11"/>
      <c r="G1314" s="65" t="s">
        <v>13</v>
      </c>
      <c r="H1314" s="11" t="s">
        <v>2108</v>
      </c>
      <c r="I1314" s="13" t="s">
        <v>2109</v>
      </c>
      <c r="J1314" s="12" t="s">
        <v>13</v>
      </c>
      <c r="K1314" s="11"/>
    </row>
    <row r="1315" spans="1:11" s="14" customFormat="1" ht="108" x14ac:dyDescent="0.25">
      <c r="A1315" s="36">
        <v>5277</v>
      </c>
      <c r="B1315" s="13" t="s">
        <v>2110</v>
      </c>
      <c r="C1315" s="25"/>
      <c r="D1315" s="11"/>
      <c r="E1315" s="36">
        <v>8</v>
      </c>
      <c r="F1315" s="11"/>
      <c r="G1315" s="65" t="s">
        <v>13</v>
      </c>
      <c r="H1315" s="11" t="s">
        <v>2111</v>
      </c>
      <c r="I1315" s="13" t="s">
        <v>2112</v>
      </c>
      <c r="J1315" s="12" t="s">
        <v>13</v>
      </c>
      <c r="K1315" s="11"/>
    </row>
    <row r="1316" spans="1:11" s="14" customFormat="1" ht="54" x14ac:dyDescent="0.25">
      <c r="A1316" s="36">
        <v>5278</v>
      </c>
      <c r="B1316" s="13" t="s">
        <v>2113</v>
      </c>
      <c r="C1316" s="25"/>
      <c r="D1316" s="11"/>
      <c r="E1316" s="36">
        <v>4</v>
      </c>
      <c r="F1316" s="11"/>
      <c r="G1316" s="65" t="s">
        <v>13</v>
      </c>
      <c r="H1316" s="11" t="s">
        <v>2114</v>
      </c>
      <c r="I1316" s="13" t="s">
        <v>2115</v>
      </c>
      <c r="J1316" s="12" t="s">
        <v>13</v>
      </c>
      <c r="K1316" s="11"/>
    </row>
    <row r="1317" spans="1:11" s="14" customFormat="1" ht="72" x14ac:dyDescent="0.25">
      <c r="A1317" s="36">
        <v>5279</v>
      </c>
      <c r="B1317" s="13" t="s">
        <v>2116</v>
      </c>
      <c r="C1317" s="25"/>
      <c r="D1317" s="11"/>
      <c r="E1317" s="36">
        <v>4</v>
      </c>
      <c r="F1317" s="11"/>
      <c r="G1317" s="65" t="s">
        <v>13</v>
      </c>
      <c r="H1317" s="11" t="s">
        <v>2117</v>
      </c>
      <c r="I1317" s="13" t="s">
        <v>2118</v>
      </c>
      <c r="J1317" s="12" t="s">
        <v>13</v>
      </c>
      <c r="K1317" s="11"/>
    </row>
    <row r="1318" spans="1:11" s="14" customFormat="1" ht="72" x14ac:dyDescent="0.25">
      <c r="A1318" s="36">
        <v>5280</v>
      </c>
      <c r="B1318" s="13" t="s">
        <v>2119</v>
      </c>
      <c r="C1318" s="25"/>
      <c r="D1318" s="11"/>
      <c r="E1318" s="36">
        <v>6</v>
      </c>
      <c r="F1318" s="11"/>
      <c r="G1318" s="65" t="s">
        <v>13</v>
      </c>
      <c r="H1318" s="11" t="s">
        <v>2120</v>
      </c>
      <c r="I1318" s="13" t="s">
        <v>2121</v>
      </c>
      <c r="J1318" s="12" t="s">
        <v>13</v>
      </c>
      <c r="K1318" s="11"/>
    </row>
    <row r="1319" spans="1:11" s="14" customFormat="1" ht="54" x14ac:dyDescent="0.25">
      <c r="A1319" s="36">
        <v>5281</v>
      </c>
      <c r="B1319" s="13" t="s">
        <v>2122</v>
      </c>
      <c r="C1319" s="25"/>
      <c r="D1319" s="11"/>
      <c r="E1319" s="36">
        <v>3</v>
      </c>
      <c r="F1319" s="11"/>
      <c r="G1319" s="65" t="s">
        <v>13</v>
      </c>
      <c r="H1319" s="11" t="s">
        <v>2123</v>
      </c>
      <c r="I1319" s="13" t="s">
        <v>2124</v>
      </c>
      <c r="J1319" s="12" t="s">
        <v>13</v>
      </c>
      <c r="K1319" s="11"/>
    </row>
    <row r="1320" spans="1:11" s="14" customFormat="1" ht="54" x14ac:dyDescent="0.25">
      <c r="A1320" s="36">
        <v>5282</v>
      </c>
      <c r="B1320" s="13" t="s">
        <v>2125</v>
      </c>
      <c r="C1320" s="25"/>
      <c r="D1320" s="11"/>
      <c r="E1320" s="36">
        <v>3</v>
      </c>
      <c r="F1320" s="11"/>
      <c r="G1320" s="65" t="s">
        <v>13</v>
      </c>
      <c r="H1320" s="11" t="s">
        <v>2126</v>
      </c>
      <c r="I1320" s="13" t="s">
        <v>2127</v>
      </c>
      <c r="J1320" s="12" t="s">
        <v>13</v>
      </c>
      <c r="K1320" s="11"/>
    </row>
    <row r="1321" spans="1:11" s="14" customFormat="1" ht="54" x14ac:dyDescent="0.25">
      <c r="A1321" s="36">
        <v>5283</v>
      </c>
      <c r="B1321" s="13" t="s">
        <v>2128</v>
      </c>
      <c r="C1321" s="25"/>
      <c r="D1321" s="11"/>
      <c r="E1321" s="36">
        <v>4</v>
      </c>
      <c r="F1321" s="11"/>
      <c r="G1321" s="65" t="s">
        <v>13</v>
      </c>
      <c r="H1321" s="11" t="s">
        <v>2129</v>
      </c>
      <c r="I1321" s="13" t="s">
        <v>2130</v>
      </c>
      <c r="J1321" s="12" t="s">
        <v>13</v>
      </c>
      <c r="K1321" s="11"/>
    </row>
    <row r="1322" spans="1:11" s="14" customFormat="1" ht="79.349999999999994" customHeight="1" x14ac:dyDescent="0.25">
      <c r="A1322" s="36">
        <v>5284</v>
      </c>
      <c r="B1322" s="13" t="s">
        <v>2131</v>
      </c>
      <c r="C1322" s="25"/>
      <c r="D1322" s="11"/>
      <c r="E1322" s="36">
        <v>4</v>
      </c>
      <c r="F1322" s="11"/>
      <c r="G1322" s="65" t="s">
        <v>13</v>
      </c>
      <c r="H1322" s="11" t="s">
        <v>2132</v>
      </c>
      <c r="I1322" s="13" t="s">
        <v>2133</v>
      </c>
      <c r="J1322" s="12" t="s">
        <v>13</v>
      </c>
      <c r="K1322" s="11"/>
    </row>
    <row r="1323" spans="1:11" s="14" customFormat="1" ht="54" x14ac:dyDescent="0.25">
      <c r="A1323" s="36">
        <v>5285</v>
      </c>
      <c r="B1323" s="13" t="s">
        <v>2134</v>
      </c>
      <c r="C1323" s="25"/>
      <c r="D1323" s="11"/>
      <c r="E1323" s="36">
        <v>4</v>
      </c>
      <c r="F1323" s="11"/>
      <c r="G1323" s="65" t="s">
        <v>13</v>
      </c>
      <c r="H1323" s="11" t="s">
        <v>2135</v>
      </c>
      <c r="I1323" s="13" t="s">
        <v>2136</v>
      </c>
      <c r="J1323" s="12" t="s">
        <v>13</v>
      </c>
      <c r="K1323" s="11"/>
    </row>
    <row r="1324" spans="1:11" s="14" customFormat="1" ht="54" x14ac:dyDescent="0.25">
      <c r="A1324" s="36">
        <v>5286</v>
      </c>
      <c r="B1324" s="13" t="s">
        <v>2137</v>
      </c>
      <c r="C1324" s="25"/>
      <c r="D1324" s="11"/>
      <c r="E1324" s="36">
        <v>2</v>
      </c>
      <c r="F1324" s="11"/>
      <c r="G1324" s="65" t="s">
        <v>13</v>
      </c>
      <c r="H1324" s="11" t="s">
        <v>2138</v>
      </c>
      <c r="I1324" s="13" t="s">
        <v>2139</v>
      </c>
      <c r="J1324" s="12" t="s">
        <v>13</v>
      </c>
      <c r="K1324" s="11"/>
    </row>
    <row r="1325" spans="1:11" s="14" customFormat="1" ht="54" x14ac:dyDescent="0.25">
      <c r="A1325" s="36">
        <v>5287</v>
      </c>
      <c r="B1325" s="13" t="s">
        <v>2140</v>
      </c>
      <c r="C1325" s="25"/>
      <c r="D1325" s="11"/>
      <c r="E1325" s="36">
        <v>4</v>
      </c>
      <c r="F1325" s="11"/>
      <c r="G1325" s="65" t="s">
        <v>13</v>
      </c>
      <c r="H1325" s="11" t="s">
        <v>2141</v>
      </c>
      <c r="I1325" s="13" t="s">
        <v>2142</v>
      </c>
      <c r="J1325" s="12" t="s">
        <v>13</v>
      </c>
      <c r="K1325" s="11"/>
    </row>
    <row r="1326" spans="1:11" s="14" customFormat="1" ht="72" x14ac:dyDescent="0.25">
      <c r="A1326" s="36">
        <v>5288</v>
      </c>
      <c r="B1326" s="13" t="s">
        <v>2143</v>
      </c>
      <c r="C1326" s="25"/>
      <c r="D1326" s="11"/>
      <c r="E1326" s="36">
        <v>4</v>
      </c>
      <c r="F1326" s="11"/>
      <c r="G1326" s="65" t="s">
        <v>13</v>
      </c>
      <c r="H1326" s="11" t="s">
        <v>2144</v>
      </c>
      <c r="I1326" s="13" t="s">
        <v>2145</v>
      </c>
      <c r="J1326" s="12" t="s">
        <v>13</v>
      </c>
      <c r="K1326" s="11"/>
    </row>
    <row r="1327" spans="1:11" s="14" customFormat="1" ht="72" x14ac:dyDescent="0.25">
      <c r="A1327" s="36">
        <v>5289</v>
      </c>
      <c r="B1327" s="13" t="s">
        <v>2146</v>
      </c>
      <c r="C1327" s="25"/>
      <c r="D1327" s="11"/>
      <c r="E1327" s="36">
        <v>4</v>
      </c>
      <c r="F1327" s="11"/>
      <c r="G1327" s="65" t="s">
        <v>13</v>
      </c>
      <c r="H1327" s="11" t="s">
        <v>2147</v>
      </c>
      <c r="I1327" s="13" t="s">
        <v>2148</v>
      </c>
      <c r="J1327" s="12" t="s">
        <v>13</v>
      </c>
      <c r="K1327" s="11"/>
    </row>
    <row r="1328" spans="1:11" s="14" customFormat="1" ht="54" x14ac:dyDescent="0.25">
      <c r="A1328" s="36">
        <v>5290</v>
      </c>
      <c r="B1328" s="13" t="s">
        <v>2149</v>
      </c>
      <c r="C1328" s="25"/>
      <c r="D1328" s="11"/>
      <c r="E1328" s="36">
        <v>4</v>
      </c>
      <c r="F1328" s="11"/>
      <c r="G1328" s="65" t="s">
        <v>13</v>
      </c>
      <c r="H1328" s="11" t="s">
        <v>2150</v>
      </c>
      <c r="I1328" s="13" t="s">
        <v>2151</v>
      </c>
      <c r="J1328" s="12" t="s">
        <v>13</v>
      </c>
      <c r="K1328" s="11"/>
    </row>
    <row r="1329" spans="1:11" s="14" customFormat="1" ht="54" x14ac:dyDescent="0.25">
      <c r="A1329" s="36">
        <v>5291</v>
      </c>
      <c r="B1329" s="13" t="s">
        <v>2152</v>
      </c>
      <c r="C1329" s="25"/>
      <c r="D1329" s="11"/>
      <c r="E1329" s="36">
        <v>3</v>
      </c>
      <c r="F1329" s="11"/>
      <c r="G1329" s="65" t="s">
        <v>13</v>
      </c>
      <c r="H1329" s="11" t="s">
        <v>2153</v>
      </c>
      <c r="I1329" s="13" t="s">
        <v>2154</v>
      </c>
      <c r="J1329" s="12" t="s">
        <v>13</v>
      </c>
      <c r="K1329" s="11"/>
    </row>
    <row r="1330" spans="1:11" s="14" customFormat="1" ht="72" x14ac:dyDescent="0.25">
      <c r="A1330" s="36">
        <v>5292</v>
      </c>
      <c r="B1330" s="13" t="s">
        <v>2155</v>
      </c>
      <c r="C1330" s="25"/>
      <c r="D1330" s="11"/>
      <c r="E1330" s="36">
        <v>3</v>
      </c>
      <c r="F1330" s="11"/>
      <c r="G1330" s="65" t="s">
        <v>13</v>
      </c>
      <c r="H1330" s="11" t="s">
        <v>2156</v>
      </c>
      <c r="I1330" s="13" t="s">
        <v>2157</v>
      </c>
      <c r="J1330" s="12" t="s">
        <v>13</v>
      </c>
      <c r="K1330" s="11"/>
    </row>
    <row r="1331" spans="1:11" s="14" customFormat="1" ht="72" x14ac:dyDescent="0.25">
      <c r="A1331" s="36">
        <v>5293</v>
      </c>
      <c r="B1331" s="13" t="s">
        <v>2158</v>
      </c>
      <c r="C1331" s="25"/>
      <c r="D1331" s="11"/>
      <c r="E1331" s="36">
        <v>6</v>
      </c>
      <c r="F1331" s="11"/>
      <c r="G1331" s="65" t="s">
        <v>13</v>
      </c>
      <c r="H1331" s="11" t="s">
        <v>2159</v>
      </c>
      <c r="I1331" s="13" t="s">
        <v>2160</v>
      </c>
      <c r="J1331" s="12" t="s">
        <v>13</v>
      </c>
      <c r="K1331" s="11"/>
    </row>
    <row r="1332" spans="1:11" s="14" customFormat="1" ht="54" x14ac:dyDescent="0.25">
      <c r="A1332" s="36">
        <v>5294</v>
      </c>
      <c r="B1332" s="13" t="s">
        <v>2161</v>
      </c>
      <c r="C1332" s="25"/>
      <c r="D1332" s="11"/>
      <c r="E1332" s="36">
        <v>3</v>
      </c>
      <c r="F1332" s="11"/>
      <c r="G1332" s="65" t="s">
        <v>13</v>
      </c>
      <c r="H1332" s="11" t="s">
        <v>2162</v>
      </c>
      <c r="I1332" s="13" t="s">
        <v>2163</v>
      </c>
      <c r="J1332" s="12" t="s">
        <v>13</v>
      </c>
      <c r="K1332" s="11"/>
    </row>
    <row r="1333" spans="1:11" s="14" customFormat="1" ht="54" x14ac:dyDescent="0.25">
      <c r="A1333" s="36">
        <v>5295</v>
      </c>
      <c r="B1333" s="13" t="s">
        <v>2164</v>
      </c>
      <c r="C1333" s="25"/>
      <c r="D1333" s="11"/>
      <c r="E1333" s="36">
        <v>2</v>
      </c>
      <c r="F1333" s="11"/>
      <c r="G1333" s="65" t="s">
        <v>13</v>
      </c>
      <c r="H1333" s="11" t="s">
        <v>2165</v>
      </c>
      <c r="I1333" s="13" t="s">
        <v>2166</v>
      </c>
      <c r="J1333" s="12" t="s">
        <v>13</v>
      </c>
      <c r="K1333" s="11"/>
    </row>
    <row r="1334" spans="1:11" s="14" customFormat="1" ht="90" x14ac:dyDescent="0.25">
      <c r="A1334" s="36">
        <v>5296</v>
      </c>
      <c r="B1334" s="13" t="s">
        <v>2167</v>
      </c>
      <c r="C1334" s="25"/>
      <c r="D1334" s="11"/>
      <c r="E1334" s="36">
        <v>2</v>
      </c>
      <c r="F1334" s="11"/>
      <c r="G1334" s="65" t="s">
        <v>13</v>
      </c>
      <c r="H1334" s="11" t="s">
        <v>2168</v>
      </c>
      <c r="I1334" s="13" t="s">
        <v>2169</v>
      </c>
      <c r="J1334" s="12" t="s">
        <v>13</v>
      </c>
      <c r="K1334" s="11"/>
    </row>
    <row r="1335" spans="1:11" s="14" customFormat="1" ht="90" x14ac:dyDescent="0.25">
      <c r="A1335" s="36">
        <v>5297</v>
      </c>
      <c r="B1335" s="13" t="s">
        <v>2170</v>
      </c>
      <c r="C1335" s="25"/>
      <c r="D1335" s="11"/>
      <c r="E1335" s="36">
        <v>3</v>
      </c>
      <c r="F1335" s="11"/>
      <c r="G1335" s="65" t="s">
        <v>13</v>
      </c>
      <c r="H1335" s="11" t="s">
        <v>2171</v>
      </c>
      <c r="I1335" s="13" t="s">
        <v>2172</v>
      </c>
      <c r="J1335" s="12" t="s">
        <v>13</v>
      </c>
      <c r="K1335" s="11"/>
    </row>
    <row r="1336" spans="1:11" s="14" customFormat="1" ht="54" x14ac:dyDescent="0.25">
      <c r="A1336" s="36">
        <v>5298</v>
      </c>
      <c r="B1336" s="13" t="s">
        <v>2173</v>
      </c>
      <c r="C1336" s="25"/>
      <c r="D1336" s="11"/>
      <c r="E1336" s="36">
        <v>3</v>
      </c>
      <c r="F1336" s="11"/>
      <c r="G1336" s="65" t="s">
        <v>13</v>
      </c>
      <c r="H1336" s="11" t="s">
        <v>2174</v>
      </c>
      <c r="I1336" s="13" t="s">
        <v>2175</v>
      </c>
      <c r="J1336" s="12" t="s">
        <v>13</v>
      </c>
      <c r="K1336" s="11"/>
    </row>
    <row r="1337" spans="1:11" s="14" customFormat="1" ht="54" x14ac:dyDescent="0.25">
      <c r="A1337" s="36">
        <v>5299</v>
      </c>
      <c r="B1337" s="13" t="s">
        <v>2176</v>
      </c>
      <c r="C1337" s="25"/>
      <c r="D1337" s="11"/>
      <c r="E1337" s="36">
        <v>3</v>
      </c>
      <c r="F1337" s="11"/>
      <c r="G1337" s="65" t="s">
        <v>13</v>
      </c>
      <c r="H1337" s="11" t="s">
        <v>2177</v>
      </c>
      <c r="I1337" s="13" t="s">
        <v>2178</v>
      </c>
      <c r="J1337" s="12" t="s">
        <v>13</v>
      </c>
      <c r="K1337" s="11"/>
    </row>
    <row r="1338" spans="1:11" s="14" customFormat="1" ht="54" x14ac:dyDescent="0.25">
      <c r="A1338" s="36">
        <v>5300</v>
      </c>
      <c r="B1338" s="13" t="s">
        <v>2179</v>
      </c>
      <c r="C1338" s="25"/>
      <c r="D1338" s="11"/>
      <c r="E1338" s="36">
        <v>24</v>
      </c>
      <c r="F1338" s="11"/>
      <c r="G1338" s="65" t="s">
        <v>13</v>
      </c>
      <c r="H1338" s="11" t="s">
        <v>2180</v>
      </c>
      <c r="I1338" s="13" t="s">
        <v>2181</v>
      </c>
      <c r="J1338" s="12" t="s">
        <v>13</v>
      </c>
      <c r="K1338" s="11"/>
    </row>
    <row r="1339" spans="1:11" s="14" customFormat="1" ht="54" x14ac:dyDescent="0.25">
      <c r="A1339" s="36">
        <v>5301</v>
      </c>
      <c r="B1339" s="13" t="s">
        <v>2182</v>
      </c>
      <c r="C1339" s="25"/>
      <c r="D1339" s="11"/>
      <c r="E1339" s="36">
        <v>24</v>
      </c>
      <c r="F1339" s="11"/>
      <c r="G1339" s="65" t="s">
        <v>13</v>
      </c>
      <c r="H1339" s="11" t="s">
        <v>2183</v>
      </c>
      <c r="I1339" s="13" t="s">
        <v>2184</v>
      </c>
      <c r="J1339" s="12" t="s">
        <v>13</v>
      </c>
      <c r="K1339" s="11"/>
    </row>
    <row r="1340" spans="1:11" s="14" customFormat="1" ht="54" x14ac:dyDescent="0.25">
      <c r="A1340" s="36">
        <v>5302</v>
      </c>
      <c r="B1340" s="13" t="s">
        <v>2185</v>
      </c>
      <c r="C1340" s="25"/>
      <c r="D1340" s="11"/>
      <c r="E1340" s="36">
        <v>2</v>
      </c>
      <c r="F1340" s="11"/>
      <c r="G1340" s="65" t="s">
        <v>13</v>
      </c>
      <c r="H1340" s="11" t="s">
        <v>2186</v>
      </c>
      <c r="I1340" s="13" t="s">
        <v>2187</v>
      </c>
      <c r="J1340" s="12" t="s">
        <v>13</v>
      </c>
      <c r="K1340" s="11"/>
    </row>
    <row r="1341" spans="1:11" s="14" customFormat="1" ht="54" x14ac:dyDescent="0.25">
      <c r="A1341" s="36">
        <v>5303</v>
      </c>
      <c r="B1341" s="13" t="s">
        <v>2188</v>
      </c>
      <c r="C1341" s="25"/>
      <c r="D1341" s="11"/>
      <c r="E1341" s="36">
        <v>2</v>
      </c>
      <c r="F1341" s="11"/>
      <c r="G1341" s="65" t="s">
        <v>13</v>
      </c>
      <c r="H1341" s="11" t="s">
        <v>2189</v>
      </c>
      <c r="I1341" s="13" t="s">
        <v>2190</v>
      </c>
      <c r="J1341" s="12" t="s">
        <v>13</v>
      </c>
      <c r="K1341" s="11"/>
    </row>
    <row r="1342" spans="1:11" s="14" customFormat="1" ht="72" x14ac:dyDescent="0.25">
      <c r="A1342" s="36">
        <v>5304</v>
      </c>
      <c r="B1342" s="13" t="s">
        <v>2191</v>
      </c>
      <c r="C1342" s="25"/>
      <c r="D1342" s="11"/>
      <c r="E1342" s="36">
        <v>6</v>
      </c>
      <c r="F1342" s="11"/>
      <c r="G1342" s="65" t="s">
        <v>13</v>
      </c>
      <c r="H1342" s="11" t="s">
        <v>2192</v>
      </c>
      <c r="I1342" s="13" t="s">
        <v>2193</v>
      </c>
      <c r="J1342" s="12" t="s">
        <v>13</v>
      </c>
      <c r="K1342" s="11"/>
    </row>
    <row r="1343" spans="1:11" s="14" customFormat="1" ht="72" x14ac:dyDescent="0.25">
      <c r="A1343" s="36">
        <v>5305</v>
      </c>
      <c r="B1343" s="13" t="s">
        <v>2194</v>
      </c>
      <c r="C1343" s="25"/>
      <c r="D1343" s="11"/>
      <c r="E1343" s="36">
        <v>6</v>
      </c>
      <c r="F1343" s="11"/>
      <c r="G1343" s="65" t="s">
        <v>13</v>
      </c>
      <c r="H1343" s="11" t="s">
        <v>2195</v>
      </c>
      <c r="I1343" s="13" t="s">
        <v>2196</v>
      </c>
      <c r="J1343" s="12" t="s">
        <v>13</v>
      </c>
      <c r="K1343" s="11"/>
    </row>
    <row r="1344" spans="1:11" s="14" customFormat="1" ht="90" x14ac:dyDescent="0.25">
      <c r="A1344" s="36">
        <v>5306</v>
      </c>
      <c r="B1344" s="13" t="s">
        <v>2197</v>
      </c>
      <c r="C1344" s="25"/>
      <c r="D1344" s="11"/>
      <c r="E1344" s="36">
        <v>3</v>
      </c>
      <c r="F1344" s="11"/>
      <c r="G1344" s="65" t="s">
        <v>13</v>
      </c>
      <c r="H1344" s="11" t="s">
        <v>2198</v>
      </c>
      <c r="I1344" s="13" t="s">
        <v>2199</v>
      </c>
      <c r="J1344" s="12" t="s">
        <v>13</v>
      </c>
      <c r="K1344" s="11"/>
    </row>
    <row r="1345" spans="1:11" s="14" customFormat="1" ht="90" x14ac:dyDescent="0.25">
      <c r="A1345" s="36">
        <v>5307</v>
      </c>
      <c r="B1345" s="13" t="s">
        <v>2200</v>
      </c>
      <c r="C1345" s="25"/>
      <c r="D1345" s="11"/>
      <c r="E1345" s="36">
        <v>3</v>
      </c>
      <c r="F1345" s="11"/>
      <c r="G1345" s="65" t="s">
        <v>13</v>
      </c>
      <c r="H1345" s="11" t="s">
        <v>2201</v>
      </c>
      <c r="I1345" s="13" t="s">
        <v>2202</v>
      </c>
      <c r="J1345" s="12" t="s">
        <v>13</v>
      </c>
      <c r="K1345" s="11"/>
    </row>
    <row r="1346" spans="1:11" s="14" customFormat="1" ht="108" x14ac:dyDescent="0.25">
      <c r="A1346" s="36">
        <v>5308</v>
      </c>
      <c r="B1346" s="13" t="s">
        <v>2203</v>
      </c>
      <c r="C1346" s="25"/>
      <c r="D1346" s="11"/>
      <c r="E1346" s="36">
        <v>12</v>
      </c>
      <c r="F1346" s="11"/>
      <c r="G1346" s="65" t="s">
        <v>13</v>
      </c>
      <c r="H1346" s="11" t="s">
        <v>2204</v>
      </c>
      <c r="I1346" s="13" t="s">
        <v>2205</v>
      </c>
      <c r="J1346" s="12" t="s">
        <v>13</v>
      </c>
      <c r="K1346" s="11"/>
    </row>
    <row r="1347" spans="1:11" s="14" customFormat="1" ht="108" x14ac:dyDescent="0.25">
      <c r="A1347" s="36">
        <v>5309</v>
      </c>
      <c r="B1347" s="13" t="s">
        <v>2206</v>
      </c>
      <c r="C1347" s="25"/>
      <c r="D1347" s="11"/>
      <c r="E1347" s="36">
        <v>12</v>
      </c>
      <c r="F1347" s="11"/>
      <c r="G1347" s="65" t="s">
        <v>13</v>
      </c>
      <c r="H1347" s="11" t="s">
        <v>2207</v>
      </c>
      <c r="I1347" s="13" t="s">
        <v>2208</v>
      </c>
      <c r="J1347" s="12" t="s">
        <v>13</v>
      </c>
      <c r="K1347" s="11"/>
    </row>
    <row r="1348" spans="1:11" s="14" customFormat="1" ht="90" x14ac:dyDescent="0.25">
      <c r="A1348" s="36">
        <v>5310</v>
      </c>
      <c r="B1348" s="13" t="s">
        <v>2209</v>
      </c>
      <c r="C1348" s="25"/>
      <c r="D1348" s="11"/>
      <c r="E1348" s="36">
        <v>2</v>
      </c>
      <c r="F1348" s="11"/>
      <c r="G1348" s="65" t="s">
        <v>13</v>
      </c>
      <c r="H1348" s="11" t="s">
        <v>2210</v>
      </c>
      <c r="I1348" s="13" t="s">
        <v>2211</v>
      </c>
      <c r="J1348" s="12" t="s">
        <v>13</v>
      </c>
      <c r="K1348" s="11"/>
    </row>
    <row r="1349" spans="1:11" s="14" customFormat="1" ht="54" x14ac:dyDescent="0.25">
      <c r="A1349" s="36">
        <v>5311</v>
      </c>
      <c r="B1349" s="13" t="s">
        <v>2212</v>
      </c>
      <c r="C1349" s="25"/>
      <c r="D1349" s="11"/>
      <c r="E1349" s="36" t="s">
        <v>1451</v>
      </c>
      <c r="F1349" s="11"/>
      <c r="G1349" s="65" t="s">
        <v>13</v>
      </c>
      <c r="H1349" s="11" t="s">
        <v>2213</v>
      </c>
      <c r="I1349" s="11" t="s">
        <v>2214</v>
      </c>
      <c r="J1349" s="12" t="s">
        <v>13</v>
      </c>
      <c r="K1349" s="11"/>
    </row>
    <row r="1350" spans="1:11" s="14" customFormat="1" ht="54" x14ac:dyDescent="0.25">
      <c r="A1350" s="36">
        <v>5312</v>
      </c>
      <c r="B1350" s="13" t="s">
        <v>2215</v>
      </c>
      <c r="C1350" s="25"/>
      <c r="D1350" s="11"/>
      <c r="E1350" s="36">
        <v>2</v>
      </c>
      <c r="F1350" s="11"/>
      <c r="G1350" s="65" t="s">
        <v>13</v>
      </c>
      <c r="H1350" s="11" t="s">
        <v>2216</v>
      </c>
      <c r="I1350" s="11" t="s">
        <v>2217</v>
      </c>
      <c r="J1350" s="12" t="s">
        <v>13</v>
      </c>
      <c r="K1350" s="11"/>
    </row>
    <row r="1351" spans="1:11" s="14" customFormat="1" ht="54" x14ac:dyDescent="0.25">
      <c r="A1351" s="36">
        <v>5313</v>
      </c>
      <c r="B1351" s="13" t="s">
        <v>2218</v>
      </c>
      <c r="C1351" s="25"/>
      <c r="D1351" s="11"/>
      <c r="E1351" s="36" t="s">
        <v>1451</v>
      </c>
      <c r="F1351" s="11"/>
      <c r="G1351" s="65" t="s">
        <v>13</v>
      </c>
      <c r="H1351" s="11" t="s">
        <v>2219</v>
      </c>
      <c r="I1351" s="11" t="s">
        <v>2220</v>
      </c>
      <c r="J1351" s="12" t="s">
        <v>13</v>
      </c>
      <c r="K1351" s="11"/>
    </row>
    <row r="1352" spans="1:11" s="14" customFormat="1" ht="54" x14ac:dyDescent="0.25">
      <c r="A1352" s="36">
        <v>5314</v>
      </c>
      <c r="B1352" s="13" t="s">
        <v>2221</v>
      </c>
      <c r="C1352" s="25"/>
      <c r="D1352" s="11"/>
      <c r="E1352" s="36" t="s">
        <v>1451</v>
      </c>
      <c r="F1352" s="11"/>
      <c r="G1352" s="65" t="s">
        <v>13</v>
      </c>
      <c r="H1352" s="11" t="s">
        <v>2222</v>
      </c>
      <c r="I1352" s="11" t="s">
        <v>2223</v>
      </c>
      <c r="J1352" s="12" t="s">
        <v>13</v>
      </c>
      <c r="K1352" s="11"/>
    </row>
    <row r="1353" spans="1:11" s="14" customFormat="1" ht="36" x14ac:dyDescent="0.25">
      <c r="A1353" s="36">
        <v>5315</v>
      </c>
      <c r="B1353" s="13" t="s">
        <v>2224</v>
      </c>
      <c r="C1353" s="25"/>
      <c r="D1353" s="11"/>
      <c r="E1353" s="36" t="s">
        <v>1451</v>
      </c>
      <c r="F1353" s="11"/>
      <c r="G1353" s="65" t="s">
        <v>13</v>
      </c>
      <c r="H1353" s="11" t="s">
        <v>2223</v>
      </c>
      <c r="I1353" s="11" t="s">
        <v>2225</v>
      </c>
      <c r="J1353" s="12" t="s">
        <v>13</v>
      </c>
      <c r="K1353" s="11"/>
    </row>
    <row r="1354" spans="1:11" s="14" customFormat="1" ht="72" x14ac:dyDescent="0.25">
      <c r="A1354" s="36">
        <v>5316</v>
      </c>
      <c r="B1354" s="13" t="s">
        <v>2226</v>
      </c>
      <c r="C1354" s="25"/>
      <c r="D1354" s="11"/>
      <c r="E1354" s="36" t="s">
        <v>1451</v>
      </c>
      <c r="F1354" s="11"/>
      <c r="G1354" s="65" t="s">
        <v>13</v>
      </c>
      <c r="H1354" s="11" t="s">
        <v>2227</v>
      </c>
      <c r="I1354" s="13" t="s">
        <v>2228</v>
      </c>
      <c r="J1354" s="12" t="s">
        <v>13</v>
      </c>
      <c r="K1354" s="11"/>
    </row>
    <row r="1355" spans="1:11" s="14" customFormat="1" ht="18" x14ac:dyDescent="0.25">
      <c r="A1355" s="36"/>
      <c r="B1355" s="13"/>
      <c r="C1355" s="25"/>
      <c r="D1355" s="11"/>
      <c r="E1355" s="36"/>
      <c r="F1355" s="11"/>
      <c r="G1355" s="65"/>
      <c r="H1355" s="11"/>
      <c r="I1355" s="11"/>
      <c r="J1355" s="12" t="s">
        <v>13</v>
      </c>
      <c r="K1355" s="11"/>
    </row>
    <row r="1356" spans="1:11" s="14" customFormat="1" ht="18" x14ac:dyDescent="0.25">
      <c r="A1356" s="57"/>
      <c r="B1356" s="58" t="s">
        <v>2229</v>
      </c>
      <c r="C1356" s="59"/>
      <c r="D1356" s="59"/>
      <c r="E1356" s="57"/>
      <c r="F1356" s="59"/>
      <c r="G1356" s="65"/>
      <c r="H1356" s="59"/>
      <c r="I1356" s="59"/>
      <c r="J1356" s="12" t="s">
        <v>13</v>
      </c>
      <c r="K1356" s="11"/>
    </row>
    <row r="1357" spans="1:11" s="14" customFormat="1" ht="54" x14ac:dyDescent="0.25">
      <c r="A1357" s="36">
        <v>5317</v>
      </c>
      <c r="B1357" s="13" t="s">
        <v>2230</v>
      </c>
      <c r="C1357" s="25"/>
      <c r="D1357" s="11"/>
      <c r="E1357" s="36">
        <v>2</v>
      </c>
      <c r="F1357" s="11"/>
      <c r="G1357" s="65" t="s">
        <v>13</v>
      </c>
      <c r="H1357" s="11" t="s">
        <v>2231</v>
      </c>
      <c r="I1357" s="11" t="s">
        <v>2232</v>
      </c>
      <c r="J1357" s="12" t="s">
        <v>13</v>
      </c>
      <c r="K1357" s="11"/>
    </row>
    <row r="1358" spans="1:11" s="14" customFormat="1" ht="54" x14ac:dyDescent="0.25">
      <c r="A1358" s="36">
        <v>5318</v>
      </c>
      <c r="B1358" s="13" t="s">
        <v>2233</v>
      </c>
      <c r="C1358" s="25"/>
      <c r="D1358" s="11"/>
      <c r="E1358" s="36">
        <v>2</v>
      </c>
      <c r="F1358" s="11"/>
      <c r="G1358" s="65" t="s">
        <v>13</v>
      </c>
      <c r="H1358" s="11" t="s">
        <v>2234</v>
      </c>
      <c r="I1358" s="11" t="s">
        <v>2232</v>
      </c>
      <c r="J1358" s="12" t="s">
        <v>13</v>
      </c>
      <c r="K1358" s="11"/>
    </row>
    <row r="1359" spans="1:11" s="14" customFormat="1" ht="54" x14ac:dyDescent="0.25">
      <c r="A1359" s="36">
        <v>5319</v>
      </c>
      <c r="B1359" s="13" t="s">
        <v>2235</v>
      </c>
      <c r="C1359" s="25"/>
      <c r="D1359" s="11"/>
      <c r="E1359" s="36" t="s">
        <v>1451</v>
      </c>
      <c r="F1359" s="11"/>
      <c r="G1359" s="65" t="s">
        <v>13</v>
      </c>
      <c r="H1359" s="11" t="s">
        <v>2236</v>
      </c>
      <c r="I1359" s="11" t="s">
        <v>2237</v>
      </c>
      <c r="J1359" s="12" t="s">
        <v>13</v>
      </c>
      <c r="K1359" s="11"/>
    </row>
    <row r="1360" spans="1:11" s="14" customFormat="1" ht="54" x14ac:dyDescent="0.25">
      <c r="A1360" s="36">
        <v>5320</v>
      </c>
      <c r="B1360" s="13" t="s">
        <v>2238</v>
      </c>
      <c r="C1360" s="25"/>
      <c r="D1360" s="11"/>
      <c r="E1360" s="36" t="s">
        <v>1451</v>
      </c>
      <c r="F1360" s="11"/>
      <c r="G1360" s="65" t="s">
        <v>13</v>
      </c>
      <c r="H1360" s="11" t="s">
        <v>2239</v>
      </c>
      <c r="I1360" s="11" t="s">
        <v>2237</v>
      </c>
      <c r="J1360" s="12" t="s">
        <v>13</v>
      </c>
      <c r="K1360" s="11"/>
    </row>
    <row r="1361" spans="1:11" s="14" customFormat="1" ht="54" x14ac:dyDescent="0.25">
      <c r="A1361" s="36">
        <v>5321</v>
      </c>
      <c r="B1361" s="13" t="s">
        <v>2240</v>
      </c>
      <c r="C1361" s="25"/>
      <c r="D1361" s="11"/>
      <c r="E1361" s="36">
        <v>4</v>
      </c>
      <c r="F1361" s="11"/>
      <c r="G1361" s="65" t="s">
        <v>13</v>
      </c>
      <c r="H1361" s="11" t="s">
        <v>2241</v>
      </c>
      <c r="I1361" s="13" t="s">
        <v>2242</v>
      </c>
      <c r="J1361" s="12" t="s">
        <v>13</v>
      </c>
      <c r="K1361" s="11"/>
    </row>
    <row r="1362" spans="1:11" s="14" customFormat="1" ht="72" x14ac:dyDescent="0.25">
      <c r="A1362" s="36">
        <v>5322</v>
      </c>
      <c r="B1362" s="13" t="s">
        <v>2243</v>
      </c>
      <c r="C1362" s="25"/>
      <c r="D1362" s="11"/>
      <c r="E1362" s="36">
        <v>2</v>
      </c>
      <c r="F1362" s="11"/>
      <c r="G1362" s="65" t="s">
        <v>13</v>
      </c>
      <c r="H1362" s="11" t="s">
        <v>2244</v>
      </c>
      <c r="I1362" s="13" t="s">
        <v>2245</v>
      </c>
      <c r="J1362" s="12" t="s">
        <v>13</v>
      </c>
      <c r="K1362" s="11"/>
    </row>
    <row r="1363" spans="1:11" s="14" customFormat="1" ht="90" x14ac:dyDescent="0.25">
      <c r="A1363" s="36">
        <v>5323</v>
      </c>
      <c r="B1363" s="13" t="s">
        <v>2246</v>
      </c>
      <c r="C1363" s="25"/>
      <c r="D1363" s="11"/>
      <c r="E1363" s="36">
        <v>12</v>
      </c>
      <c r="F1363" s="11"/>
      <c r="G1363" s="65" t="s">
        <v>13</v>
      </c>
      <c r="H1363" s="11" t="s">
        <v>2247</v>
      </c>
      <c r="I1363" s="13" t="s">
        <v>2248</v>
      </c>
      <c r="J1363" s="12" t="s">
        <v>13</v>
      </c>
      <c r="K1363" s="11"/>
    </row>
    <row r="1364" spans="1:11" s="14" customFormat="1" ht="72" x14ac:dyDescent="0.25">
      <c r="A1364" s="36">
        <v>5324</v>
      </c>
      <c r="B1364" s="13" t="s">
        <v>2249</v>
      </c>
      <c r="C1364" s="25"/>
      <c r="D1364" s="11"/>
      <c r="E1364" s="36">
        <v>12</v>
      </c>
      <c r="F1364" s="11"/>
      <c r="G1364" s="65" t="s">
        <v>13</v>
      </c>
      <c r="H1364" s="11" t="s">
        <v>2250</v>
      </c>
      <c r="I1364" s="13" t="s">
        <v>2251</v>
      </c>
      <c r="J1364" s="12" t="s">
        <v>13</v>
      </c>
      <c r="K1364" s="11"/>
    </row>
    <row r="1365" spans="1:11" s="14" customFormat="1" ht="168" customHeight="1" x14ac:dyDescent="0.25">
      <c r="A1365" s="36">
        <v>5325</v>
      </c>
      <c r="B1365" s="13" t="s">
        <v>2252</v>
      </c>
      <c r="C1365" s="25"/>
      <c r="D1365" s="11"/>
      <c r="E1365" s="36">
        <v>3</v>
      </c>
      <c r="F1365" s="11"/>
      <c r="G1365" s="65" t="s">
        <v>13</v>
      </c>
      <c r="H1365" s="11" t="s">
        <v>2253</v>
      </c>
      <c r="I1365" s="13" t="s">
        <v>2254</v>
      </c>
      <c r="J1365" s="12" t="s">
        <v>13</v>
      </c>
      <c r="K1365" s="11"/>
    </row>
    <row r="1366" spans="1:11" s="14" customFormat="1" ht="108" x14ac:dyDescent="0.25">
      <c r="A1366" s="36">
        <v>5326</v>
      </c>
      <c r="B1366" s="13" t="s">
        <v>2255</v>
      </c>
      <c r="C1366" s="25"/>
      <c r="D1366" s="11"/>
      <c r="E1366" s="36" t="s">
        <v>1451</v>
      </c>
      <c r="F1366" s="11"/>
      <c r="G1366" s="65" t="s">
        <v>13</v>
      </c>
      <c r="H1366" s="11" t="s">
        <v>2256</v>
      </c>
      <c r="I1366" s="13" t="s">
        <v>2257</v>
      </c>
      <c r="J1366" s="12" t="s">
        <v>13</v>
      </c>
      <c r="K1366" s="11"/>
    </row>
    <row r="1367" spans="1:11" s="14" customFormat="1" ht="108" x14ac:dyDescent="0.25">
      <c r="A1367" s="36">
        <v>5327</v>
      </c>
      <c r="B1367" s="13" t="s">
        <v>2258</v>
      </c>
      <c r="C1367" s="25"/>
      <c r="D1367" s="11"/>
      <c r="E1367" s="36" t="s">
        <v>1451</v>
      </c>
      <c r="F1367" s="11"/>
      <c r="G1367" s="65" t="s">
        <v>13</v>
      </c>
      <c r="H1367" s="11" t="s">
        <v>2259</v>
      </c>
      <c r="I1367" s="13" t="s">
        <v>2260</v>
      </c>
      <c r="J1367" s="12" t="s">
        <v>13</v>
      </c>
      <c r="K1367" s="11"/>
    </row>
    <row r="1368" spans="1:11" s="14" customFormat="1" ht="36" x14ac:dyDescent="0.25">
      <c r="A1368" s="36">
        <v>5328</v>
      </c>
      <c r="B1368" s="13" t="s">
        <v>2261</v>
      </c>
      <c r="C1368" s="25"/>
      <c r="D1368" s="11"/>
      <c r="E1368" s="36" t="s">
        <v>1451</v>
      </c>
      <c r="F1368" s="11"/>
      <c r="G1368" s="65" t="s">
        <v>13</v>
      </c>
      <c r="H1368" s="11" t="s">
        <v>2262</v>
      </c>
      <c r="I1368" s="11" t="s">
        <v>2263</v>
      </c>
      <c r="J1368" s="12" t="s">
        <v>13</v>
      </c>
      <c r="K1368" s="11"/>
    </row>
    <row r="1369" spans="1:11" s="14" customFormat="1" ht="36" x14ac:dyDescent="0.25">
      <c r="A1369" s="36">
        <v>5329</v>
      </c>
      <c r="B1369" s="13" t="s">
        <v>2264</v>
      </c>
      <c r="C1369" s="25"/>
      <c r="D1369" s="11"/>
      <c r="E1369" s="36" t="s">
        <v>1451</v>
      </c>
      <c r="F1369" s="11"/>
      <c r="G1369" s="65" t="s">
        <v>13</v>
      </c>
      <c r="H1369" s="11" t="s">
        <v>2265</v>
      </c>
      <c r="I1369" s="11" t="s">
        <v>2266</v>
      </c>
      <c r="J1369" s="12" t="s">
        <v>13</v>
      </c>
      <c r="K1369" s="11"/>
    </row>
    <row r="1370" spans="1:11" s="14" customFormat="1" ht="36" x14ac:dyDescent="0.25">
      <c r="A1370" s="36">
        <v>5330</v>
      </c>
      <c r="B1370" s="13" t="s">
        <v>2267</v>
      </c>
      <c r="C1370" s="25"/>
      <c r="D1370" s="11"/>
      <c r="E1370" s="36" t="s">
        <v>1451</v>
      </c>
      <c r="F1370" s="11"/>
      <c r="G1370" s="65" t="s">
        <v>13</v>
      </c>
      <c r="H1370" s="11" t="s">
        <v>2268</v>
      </c>
      <c r="I1370" s="11" t="s">
        <v>2269</v>
      </c>
      <c r="J1370" s="12" t="s">
        <v>13</v>
      </c>
      <c r="K1370" s="11"/>
    </row>
    <row r="1371" spans="1:11" s="14" customFormat="1" ht="54" x14ac:dyDescent="0.25">
      <c r="A1371" s="36">
        <v>5331</v>
      </c>
      <c r="B1371" s="13" t="s">
        <v>2270</v>
      </c>
      <c r="C1371" s="25"/>
      <c r="D1371" s="11"/>
      <c r="E1371" s="36" t="s">
        <v>1451</v>
      </c>
      <c r="F1371" s="11"/>
      <c r="G1371" s="65" t="s">
        <v>13</v>
      </c>
      <c r="H1371" s="11" t="s">
        <v>2271</v>
      </c>
      <c r="I1371" s="11" t="s">
        <v>2272</v>
      </c>
      <c r="J1371" s="12" t="s">
        <v>13</v>
      </c>
      <c r="K1371" s="11"/>
    </row>
    <row r="1372" spans="1:11" s="14" customFormat="1" ht="54" x14ac:dyDescent="0.25">
      <c r="A1372" s="36">
        <v>5332</v>
      </c>
      <c r="B1372" s="13" t="s">
        <v>2273</v>
      </c>
      <c r="C1372" s="25"/>
      <c r="D1372" s="11"/>
      <c r="E1372" s="36">
        <v>8</v>
      </c>
      <c r="F1372" s="11"/>
      <c r="G1372" s="65" t="s">
        <v>13</v>
      </c>
      <c r="H1372" s="11" t="s">
        <v>2274</v>
      </c>
      <c r="I1372" s="13" t="s">
        <v>2275</v>
      </c>
      <c r="J1372" s="12" t="s">
        <v>13</v>
      </c>
      <c r="K1372" s="11"/>
    </row>
    <row r="1373" spans="1:11" s="14" customFormat="1" ht="54" x14ac:dyDescent="0.25">
      <c r="A1373" s="36">
        <v>5333</v>
      </c>
      <c r="B1373" s="13" t="s">
        <v>2276</v>
      </c>
      <c r="C1373" s="25"/>
      <c r="D1373" s="11"/>
      <c r="E1373" s="36">
        <v>8</v>
      </c>
      <c r="F1373" s="11"/>
      <c r="G1373" s="65" t="s">
        <v>13</v>
      </c>
      <c r="H1373" s="11" t="s">
        <v>2277</v>
      </c>
      <c r="I1373" s="11" t="s">
        <v>2278</v>
      </c>
      <c r="J1373" s="12" t="s">
        <v>13</v>
      </c>
      <c r="K1373" s="11"/>
    </row>
    <row r="1374" spans="1:11" s="14" customFormat="1" ht="54" x14ac:dyDescent="0.25">
      <c r="A1374" s="36">
        <v>5334</v>
      </c>
      <c r="B1374" s="13" t="s">
        <v>2279</v>
      </c>
      <c r="C1374" s="25"/>
      <c r="D1374" s="11"/>
      <c r="E1374" s="36" t="s">
        <v>1451</v>
      </c>
      <c r="F1374" s="11"/>
      <c r="G1374" s="65" t="s">
        <v>13</v>
      </c>
      <c r="H1374" s="11" t="s">
        <v>2280</v>
      </c>
      <c r="I1374" s="11" t="s">
        <v>2281</v>
      </c>
      <c r="J1374" s="12" t="s">
        <v>13</v>
      </c>
      <c r="K1374" s="11"/>
    </row>
    <row r="1375" spans="1:11" s="14" customFormat="1" ht="54" x14ac:dyDescent="0.25">
      <c r="A1375" s="36">
        <v>5335</v>
      </c>
      <c r="B1375" s="13" t="s">
        <v>2282</v>
      </c>
      <c r="C1375" s="25"/>
      <c r="D1375" s="11"/>
      <c r="E1375" s="36" t="s">
        <v>1451</v>
      </c>
      <c r="F1375" s="11"/>
      <c r="G1375" s="65" t="s">
        <v>13</v>
      </c>
      <c r="H1375" s="11" t="s">
        <v>2283</v>
      </c>
      <c r="I1375" s="11" t="s">
        <v>2284</v>
      </c>
      <c r="J1375" s="12" t="s">
        <v>13</v>
      </c>
      <c r="K1375" s="11"/>
    </row>
    <row r="1376" spans="1:11" s="14" customFormat="1" ht="52.7" customHeight="1" x14ac:dyDescent="0.25">
      <c r="A1376" s="36">
        <v>5336</v>
      </c>
      <c r="B1376" s="13" t="s">
        <v>2285</v>
      </c>
      <c r="C1376" s="25"/>
      <c r="D1376" s="11"/>
      <c r="E1376" s="36">
        <v>2</v>
      </c>
      <c r="F1376" s="11"/>
      <c r="G1376" s="65" t="s">
        <v>13</v>
      </c>
      <c r="H1376" s="11" t="s">
        <v>2286</v>
      </c>
      <c r="I1376" s="11" t="s">
        <v>2287</v>
      </c>
      <c r="J1376" s="12" t="s">
        <v>13</v>
      </c>
      <c r="K1376" s="11"/>
    </row>
    <row r="1377" spans="1:11" s="14" customFormat="1" ht="36" x14ac:dyDescent="0.25">
      <c r="A1377" s="36">
        <v>5337</v>
      </c>
      <c r="B1377" s="13" t="s">
        <v>2288</v>
      </c>
      <c r="C1377" s="25"/>
      <c r="D1377" s="11"/>
      <c r="E1377" s="36">
        <v>4</v>
      </c>
      <c r="F1377" s="11"/>
      <c r="G1377" s="65" t="s">
        <v>13</v>
      </c>
      <c r="H1377" s="11" t="s">
        <v>2289</v>
      </c>
      <c r="I1377" s="11" t="s">
        <v>2290</v>
      </c>
      <c r="J1377" s="12" t="s">
        <v>13</v>
      </c>
      <c r="K1377" s="11"/>
    </row>
    <row r="1378" spans="1:11" s="14" customFormat="1" ht="36" x14ac:dyDescent="0.25">
      <c r="A1378" s="36">
        <v>5338</v>
      </c>
      <c r="B1378" s="13" t="s">
        <v>2291</v>
      </c>
      <c r="C1378" s="25"/>
      <c r="D1378" s="11"/>
      <c r="E1378" s="36">
        <v>2</v>
      </c>
      <c r="F1378" s="11"/>
      <c r="G1378" s="65" t="s">
        <v>13</v>
      </c>
      <c r="H1378" s="11" t="s">
        <v>2292</v>
      </c>
      <c r="I1378" s="11" t="s">
        <v>2293</v>
      </c>
      <c r="J1378" s="12" t="s">
        <v>13</v>
      </c>
      <c r="K1378" s="11"/>
    </row>
    <row r="1379" spans="1:11" s="14" customFormat="1" ht="54" x14ac:dyDescent="0.25">
      <c r="A1379" s="36">
        <v>5339</v>
      </c>
      <c r="B1379" s="13" t="s">
        <v>2294</v>
      </c>
      <c r="C1379" s="25"/>
      <c r="D1379" s="11"/>
      <c r="E1379" s="36" t="s">
        <v>1451</v>
      </c>
      <c r="F1379" s="11"/>
      <c r="G1379" s="65" t="s">
        <v>13</v>
      </c>
      <c r="H1379" s="11" t="s">
        <v>2295</v>
      </c>
      <c r="I1379" s="11" t="s">
        <v>2296</v>
      </c>
      <c r="J1379" s="12" t="s">
        <v>13</v>
      </c>
      <c r="K1379" s="11"/>
    </row>
    <row r="1380" spans="1:11" s="14" customFormat="1" ht="36" x14ac:dyDescent="0.25">
      <c r="A1380" s="36">
        <v>5340</v>
      </c>
      <c r="B1380" s="13" t="s">
        <v>2297</v>
      </c>
      <c r="C1380" s="25"/>
      <c r="D1380" s="11"/>
      <c r="E1380" s="36" t="s">
        <v>1451</v>
      </c>
      <c r="F1380" s="11"/>
      <c r="G1380" s="65" t="s">
        <v>13</v>
      </c>
      <c r="H1380" s="11" t="s">
        <v>2298</v>
      </c>
      <c r="I1380" s="11" t="s">
        <v>2299</v>
      </c>
      <c r="J1380" s="12" t="s">
        <v>13</v>
      </c>
      <c r="K1380" s="11"/>
    </row>
    <row r="1381" spans="1:11" s="14" customFormat="1" ht="36" x14ac:dyDescent="0.25">
      <c r="A1381" s="36">
        <v>5341</v>
      </c>
      <c r="B1381" s="13" t="s">
        <v>2300</v>
      </c>
      <c r="C1381" s="25"/>
      <c r="D1381" s="11"/>
      <c r="E1381" s="36" t="s">
        <v>1451</v>
      </c>
      <c r="F1381" s="11"/>
      <c r="G1381" s="65" t="s">
        <v>13</v>
      </c>
      <c r="H1381" s="11" t="s">
        <v>2301</v>
      </c>
      <c r="I1381" s="11" t="s">
        <v>2299</v>
      </c>
      <c r="J1381" s="12" t="s">
        <v>13</v>
      </c>
      <c r="K1381" s="11"/>
    </row>
    <row r="1382" spans="1:11" s="14" customFormat="1" ht="36" x14ac:dyDescent="0.25">
      <c r="A1382" s="36">
        <v>5342</v>
      </c>
      <c r="B1382" s="13" t="s">
        <v>2302</v>
      </c>
      <c r="C1382" s="25"/>
      <c r="D1382" s="11"/>
      <c r="E1382" s="36" t="s">
        <v>1451</v>
      </c>
      <c r="F1382" s="11"/>
      <c r="G1382" s="65" t="s">
        <v>13</v>
      </c>
      <c r="H1382" s="11" t="s">
        <v>2303</v>
      </c>
      <c r="I1382" s="11" t="s">
        <v>2304</v>
      </c>
      <c r="J1382" s="12" t="s">
        <v>13</v>
      </c>
      <c r="K1382" s="11"/>
    </row>
    <row r="1383" spans="1:11" s="14" customFormat="1" ht="54" x14ac:dyDescent="0.25">
      <c r="A1383" s="36">
        <v>5343</v>
      </c>
      <c r="B1383" s="13" t="s">
        <v>2305</v>
      </c>
      <c r="C1383" s="25"/>
      <c r="D1383" s="11"/>
      <c r="E1383" s="36">
        <v>2</v>
      </c>
      <c r="F1383" s="11"/>
      <c r="G1383" s="65" t="s">
        <v>13</v>
      </c>
      <c r="H1383" s="11" t="s">
        <v>2306</v>
      </c>
      <c r="I1383" s="11" t="s">
        <v>2307</v>
      </c>
      <c r="J1383" s="12" t="s">
        <v>13</v>
      </c>
      <c r="K1383" s="11"/>
    </row>
    <row r="1384" spans="1:11" s="14" customFormat="1" ht="36" x14ac:dyDescent="0.25">
      <c r="A1384" s="36">
        <v>5344</v>
      </c>
      <c r="B1384" s="13" t="s">
        <v>2308</v>
      </c>
      <c r="C1384" s="25"/>
      <c r="D1384" s="11"/>
      <c r="E1384" s="36" t="s">
        <v>1451</v>
      </c>
      <c r="F1384" s="11"/>
      <c r="G1384" s="65" t="s">
        <v>13</v>
      </c>
      <c r="H1384" s="11" t="s">
        <v>2309</v>
      </c>
      <c r="I1384" s="11" t="s">
        <v>2310</v>
      </c>
      <c r="J1384" s="12" t="s">
        <v>13</v>
      </c>
      <c r="K1384" s="11"/>
    </row>
    <row r="1385" spans="1:11" s="14" customFormat="1" ht="36" x14ac:dyDescent="0.25">
      <c r="A1385" s="36">
        <v>5345</v>
      </c>
      <c r="B1385" s="13" t="s">
        <v>2311</v>
      </c>
      <c r="C1385" s="25"/>
      <c r="D1385" s="11"/>
      <c r="E1385" s="36" t="s">
        <v>1451</v>
      </c>
      <c r="F1385" s="11"/>
      <c r="G1385" s="65" t="s">
        <v>13</v>
      </c>
      <c r="H1385" s="11" t="s">
        <v>2312</v>
      </c>
      <c r="I1385" s="11" t="s">
        <v>2313</v>
      </c>
      <c r="J1385" s="12" t="s">
        <v>13</v>
      </c>
      <c r="K1385" s="11"/>
    </row>
    <row r="1386" spans="1:11" s="14" customFormat="1" ht="36" x14ac:dyDescent="0.25">
      <c r="A1386" s="36">
        <v>5346</v>
      </c>
      <c r="B1386" s="13" t="s">
        <v>2314</v>
      </c>
      <c r="C1386" s="25"/>
      <c r="D1386" s="11"/>
      <c r="E1386" s="36" t="s">
        <v>1451</v>
      </c>
      <c r="F1386" s="11"/>
      <c r="G1386" s="65" t="s">
        <v>13</v>
      </c>
      <c r="H1386" s="11" t="s">
        <v>2315</v>
      </c>
      <c r="I1386" s="11" t="s">
        <v>2316</v>
      </c>
      <c r="J1386" s="12" t="s">
        <v>13</v>
      </c>
      <c r="K1386" s="11"/>
    </row>
    <row r="1387" spans="1:11" s="14" customFormat="1" ht="36" x14ac:dyDescent="0.25">
      <c r="A1387" s="36">
        <v>5347</v>
      </c>
      <c r="B1387" s="13" t="s">
        <v>2317</v>
      </c>
      <c r="C1387" s="25"/>
      <c r="D1387" s="11"/>
      <c r="E1387" s="36" t="s">
        <v>1451</v>
      </c>
      <c r="F1387" s="11"/>
      <c r="G1387" s="65" t="s">
        <v>13</v>
      </c>
      <c r="H1387" s="11" t="s">
        <v>2318</v>
      </c>
      <c r="I1387" s="11" t="s">
        <v>2319</v>
      </c>
      <c r="J1387" s="12" t="s">
        <v>13</v>
      </c>
      <c r="K1387" s="11"/>
    </row>
    <row r="1388" spans="1:11" s="14" customFormat="1" ht="36" x14ac:dyDescent="0.25">
      <c r="A1388" s="36">
        <v>5348</v>
      </c>
      <c r="B1388" s="13" t="s">
        <v>2320</v>
      </c>
      <c r="C1388" s="25"/>
      <c r="D1388" s="11"/>
      <c r="E1388" s="36" t="s">
        <v>1451</v>
      </c>
      <c r="F1388" s="11"/>
      <c r="G1388" s="65" t="s">
        <v>13</v>
      </c>
      <c r="H1388" s="11" t="s">
        <v>2321</v>
      </c>
      <c r="I1388" s="11" t="s">
        <v>2322</v>
      </c>
      <c r="J1388" s="12" t="s">
        <v>13</v>
      </c>
      <c r="K1388" s="11"/>
    </row>
    <row r="1389" spans="1:11" s="14" customFormat="1" ht="36" x14ac:dyDescent="0.25">
      <c r="A1389" s="36">
        <v>5349</v>
      </c>
      <c r="B1389" s="13" t="s">
        <v>2323</v>
      </c>
      <c r="C1389" s="25"/>
      <c r="D1389" s="11"/>
      <c r="E1389" s="36" t="s">
        <v>1451</v>
      </c>
      <c r="F1389" s="11"/>
      <c r="G1389" s="65" t="s">
        <v>13</v>
      </c>
      <c r="H1389" s="11" t="s">
        <v>2324</v>
      </c>
      <c r="I1389" s="11" t="s">
        <v>2325</v>
      </c>
      <c r="J1389" s="12" t="s">
        <v>13</v>
      </c>
      <c r="K1389" s="11"/>
    </row>
    <row r="1390" spans="1:11" s="14" customFormat="1" ht="36" x14ac:dyDescent="0.25">
      <c r="A1390" s="36">
        <v>5350</v>
      </c>
      <c r="B1390" s="13" t="s">
        <v>2326</v>
      </c>
      <c r="C1390" s="25"/>
      <c r="D1390" s="11"/>
      <c r="E1390" s="36" t="s">
        <v>1451</v>
      </c>
      <c r="F1390" s="11"/>
      <c r="G1390" s="65" t="s">
        <v>13</v>
      </c>
      <c r="H1390" s="11" t="s">
        <v>2327</v>
      </c>
      <c r="I1390" s="11" t="s">
        <v>2328</v>
      </c>
      <c r="J1390" s="12" t="s">
        <v>13</v>
      </c>
      <c r="K1390" s="11"/>
    </row>
    <row r="1391" spans="1:11" s="14" customFormat="1" ht="54" x14ac:dyDescent="0.25">
      <c r="A1391" s="36">
        <v>5351</v>
      </c>
      <c r="B1391" s="13" t="s">
        <v>2329</v>
      </c>
      <c r="C1391" s="25"/>
      <c r="D1391" s="11"/>
      <c r="E1391" s="36" t="s">
        <v>1451</v>
      </c>
      <c r="F1391" s="11"/>
      <c r="G1391" s="65" t="s">
        <v>13</v>
      </c>
      <c r="H1391" s="11" t="s">
        <v>2330</v>
      </c>
      <c r="I1391" s="11" t="s">
        <v>2331</v>
      </c>
      <c r="J1391" s="12" t="s">
        <v>13</v>
      </c>
      <c r="K1391" s="11"/>
    </row>
    <row r="1392" spans="1:11" s="14" customFormat="1" ht="54" x14ac:dyDescent="0.25">
      <c r="A1392" s="36">
        <v>5352</v>
      </c>
      <c r="B1392" s="13" t="s">
        <v>2332</v>
      </c>
      <c r="C1392" s="25"/>
      <c r="D1392" s="11"/>
      <c r="E1392" s="36">
        <v>2</v>
      </c>
      <c r="F1392" s="11"/>
      <c r="G1392" s="65" t="s">
        <v>13</v>
      </c>
      <c r="H1392" s="11" t="s">
        <v>2333</v>
      </c>
      <c r="I1392" s="11" t="s">
        <v>2334</v>
      </c>
      <c r="J1392" s="12" t="s">
        <v>13</v>
      </c>
      <c r="K1392" s="11"/>
    </row>
    <row r="1393" spans="1:11" s="14" customFormat="1" ht="54" x14ac:dyDescent="0.25">
      <c r="A1393" s="36">
        <v>5353</v>
      </c>
      <c r="B1393" s="13" t="s">
        <v>2335</v>
      </c>
      <c r="C1393" s="25"/>
      <c r="D1393" s="11"/>
      <c r="E1393" s="36">
        <v>2</v>
      </c>
      <c r="F1393" s="11"/>
      <c r="G1393" s="65" t="s">
        <v>13</v>
      </c>
      <c r="H1393" s="11" t="s">
        <v>2336</v>
      </c>
      <c r="I1393" s="11" t="s">
        <v>2334</v>
      </c>
      <c r="J1393" s="12" t="s">
        <v>13</v>
      </c>
      <c r="K1393" s="11"/>
    </row>
    <row r="1394" spans="1:11" s="14" customFormat="1" ht="54" x14ac:dyDescent="0.25">
      <c r="A1394" s="36">
        <v>5354</v>
      </c>
      <c r="B1394" s="13" t="s">
        <v>2337</v>
      </c>
      <c r="C1394" s="25"/>
      <c r="D1394" s="11"/>
      <c r="E1394" s="36">
        <v>8</v>
      </c>
      <c r="F1394" s="11"/>
      <c r="G1394" s="65" t="s">
        <v>13</v>
      </c>
      <c r="H1394" s="11" t="s">
        <v>2338</v>
      </c>
      <c r="I1394" s="13" t="s">
        <v>2339</v>
      </c>
      <c r="J1394" s="12" t="s">
        <v>13</v>
      </c>
      <c r="K1394" s="11"/>
    </row>
    <row r="1395" spans="1:11" s="14" customFormat="1" ht="54" x14ac:dyDescent="0.25">
      <c r="A1395" s="36">
        <v>5355</v>
      </c>
      <c r="B1395" s="13" t="s">
        <v>2340</v>
      </c>
      <c r="C1395" s="25"/>
      <c r="D1395" s="11"/>
      <c r="E1395" s="36" t="s">
        <v>1451</v>
      </c>
      <c r="F1395" s="11"/>
      <c r="G1395" s="65" t="s">
        <v>13</v>
      </c>
      <c r="H1395" s="11" t="s">
        <v>2341</v>
      </c>
      <c r="I1395" s="13" t="s">
        <v>2342</v>
      </c>
      <c r="J1395" s="12" t="s">
        <v>13</v>
      </c>
      <c r="K1395" s="11"/>
    </row>
    <row r="1396" spans="1:11" s="14" customFormat="1" ht="36" x14ac:dyDescent="0.25">
      <c r="A1396" s="36">
        <v>5356</v>
      </c>
      <c r="B1396" s="13" t="s">
        <v>2343</v>
      </c>
      <c r="C1396" s="25"/>
      <c r="D1396" s="11"/>
      <c r="E1396" s="36" t="s">
        <v>1451</v>
      </c>
      <c r="F1396" s="11"/>
      <c r="G1396" s="65" t="s">
        <v>13</v>
      </c>
      <c r="H1396" s="11" t="s">
        <v>2344</v>
      </c>
      <c r="I1396" s="11" t="s">
        <v>2345</v>
      </c>
      <c r="J1396" s="12" t="s">
        <v>13</v>
      </c>
      <c r="K1396" s="11"/>
    </row>
    <row r="1397" spans="1:11" s="14" customFormat="1" ht="36" x14ac:dyDescent="0.25">
      <c r="A1397" s="36">
        <v>5357</v>
      </c>
      <c r="B1397" s="13" t="s">
        <v>2346</v>
      </c>
      <c r="C1397" s="25"/>
      <c r="D1397" s="11"/>
      <c r="E1397" s="36">
        <v>6</v>
      </c>
      <c r="F1397" s="11"/>
      <c r="G1397" s="65" t="s">
        <v>13</v>
      </c>
      <c r="H1397" s="11" t="s">
        <v>2347</v>
      </c>
      <c r="I1397" s="11" t="s">
        <v>2348</v>
      </c>
      <c r="J1397" s="12" t="s">
        <v>13</v>
      </c>
      <c r="K1397" s="11"/>
    </row>
    <row r="1398" spans="1:11" s="14" customFormat="1" ht="54" x14ac:dyDescent="0.25">
      <c r="A1398" s="36">
        <v>5358</v>
      </c>
      <c r="B1398" s="13" t="s">
        <v>2349</v>
      </c>
      <c r="C1398" s="25"/>
      <c r="D1398" s="11"/>
      <c r="E1398" s="36" t="s">
        <v>1451</v>
      </c>
      <c r="F1398" s="11"/>
      <c r="G1398" s="65" t="s">
        <v>13</v>
      </c>
      <c r="H1398" s="11" t="s">
        <v>2350</v>
      </c>
      <c r="I1398" s="11" t="s">
        <v>2351</v>
      </c>
      <c r="J1398" s="12" t="s">
        <v>13</v>
      </c>
      <c r="K1398" s="11"/>
    </row>
    <row r="1399" spans="1:11" s="14" customFormat="1" ht="54" x14ac:dyDescent="0.25">
      <c r="A1399" s="36">
        <v>5359</v>
      </c>
      <c r="B1399" s="13" t="s">
        <v>2352</v>
      </c>
      <c r="C1399" s="25"/>
      <c r="D1399" s="11"/>
      <c r="E1399" s="36" t="s">
        <v>1451</v>
      </c>
      <c r="F1399" s="11"/>
      <c r="G1399" s="65" t="s">
        <v>13</v>
      </c>
      <c r="H1399" s="11" t="s">
        <v>2353</v>
      </c>
      <c r="I1399" s="11" t="s">
        <v>2354</v>
      </c>
      <c r="J1399" s="12" t="s">
        <v>13</v>
      </c>
      <c r="K1399" s="11"/>
    </row>
    <row r="1400" spans="1:11" s="14" customFormat="1" ht="72" x14ac:dyDescent="0.25">
      <c r="A1400" s="36">
        <v>5360</v>
      </c>
      <c r="B1400" s="13" t="s">
        <v>2355</v>
      </c>
      <c r="C1400" s="25"/>
      <c r="D1400" s="11"/>
      <c r="E1400" s="36" t="s">
        <v>1451</v>
      </c>
      <c r="F1400" s="11"/>
      <c r="G1400" s="65" t="s">
        <v>13</v>
      </c>
      <c r="H1400" s="11" t="s">
        <v>2356</v>
      </c>
      <c r="I1400" s="13" t="s">
        <v>2357</v>
      </c>
      <c r="J1400" s="12" t="s">
        <v>13</v>
      </c>
      <c r="K1400" s="11"/>
    </row>
    <row r="1401" spans="1:11" s="14" customFormat="1" ht="54" x14ac:dyDescent="0.25">
      <c r="A1401" s="36">
        <v>5361</v>
      </c>
      <c r="B1401" s="13" t="s">
        <v>2358</v>
      </c>
      <c r="C1401" s="25"/>
      <c r="D1401" s="11"/>
      <c r="E1401" s="36" t="s">
        <v>1451</v>
      </c>
      <c r="F1401" s="11"/>
      <c r="G1401" s="65" t="s">
        <v>13</v>
      </c>
      <c r="H1401" s="11" t="s">
        <v>2359</v>
      </c>
      <c r="I1401" s="11" t="s">
        <v>2360</v>
      </c>
      <c r="J1401" s="12" t="s">
        <v>13</v>
      </c>
      <c r="K1401" s="11"/>
    </row>
    <row r="1402" spans="1:11" s="14" customFormat="1" ht="36" x14ac:dyDescent="0.25">
      <c r="A1402" s="36">
        <v>5362</v>
      </c>
      <c r="B1402" s="13" t="s">
        <v>2361</v>
      </c>
      <c r="C1402" s="25"/>
      <c r="D1402" s="11"/>
      <c r="E1402" s="36" t="s">
        <v>1451</v>
      </c>
      <c r="F1402" s="11"/>
      <c r="G1402" s="65" t="s">
        <v>13</v>
      </c>
      <c r="H1402" s="11" t="s">
        <v>2362</v>
      </c>
      <c r="I1402" s="11" t="s">
        <v>2363</v>
      </c>
      <c r="J1402" s="12" t="s">
        <v>13</v>
      </c>
      <c r="K1402" s="11"/>
    </row>
    <row r="1403" spans="1:11" s="14" customFormat="1" ht="36" x14ac:dyDescent="0.25">
      <c r="A1403" s="36">
        <v>5363</v>
      </c>
      <c r="B1403" s="13" t="s">
        <v>2364</v>
      </c>
      <c r="C1403" s="25"/>
      <c r="D1403" s="11"/>
      <c r="E1403" s="36" t="s">
        <v>1451</v>
      </c>
      <c r="F1403" s="11"/>
      <c r="G1403" s="65" t="s">
        <v>13</v>
      </c>
      <c r="H1403" s="11" t="s">
        <v>2365</v>
      </c>
      <c r="I1403" s="11" t="s">
        <v>2366</v>
      </c>
      <c r="J1403" s="12" t="s">
        <v>13</v>
      </c>
      <c r="K1403" s="11"/>
    </row>
    <row r="1404" spans="1:11" s="14" customFormat="1" ht="57" customHeight="1" x14ac:dyDescent="0.25">
      <c r="A1404" s="36">
        <v>5364</v>
      </c>
      <c r="B1404" s="13" t="s">
        <v>2367</v>
      </c>
      <c r="C1404" s="25"/>
      <c r="D1404" s="11"/>
      <c r="E1404" s="36" t="s">
        <v>1451</v>
      </c>
      <c r="F1404" s="11"/>
      <c r="G1404" s="65" t="s">
        <v>13</v>
      </c>
      <c r="H1404" s="11" t="s">
        <v>2368</v>
      </c>
      <c r="I1404" s="11" t="s">
        <v>2369</v>
      </c>
      <c r="J1404" s="12" t="s">
        <v>13</v>
      </c>
      <c r="K1404" s="11"/>
    </row>
    <row r="1405" spans="1:11" s="14" customFormat="1" ht="54" x14ac:dyDescent="0.25">
      <c r="A1405" s="36">
        <v>5365</v>
      </c>
      <c r="B1405" s="13" t="s">
        <v>2370</v>
      </c>
      <c r="C1405" s="25"/>
      <c r="D1405" s="11"/>
      <c r="E1405" s="36" t="s">
        <v>1451</v>
      </c>
      <c r="F1405" s="11"/>
      <c r="G1405" s="65" t="s">
        <v>13</v>
      </c>
      <c r="H1405" s="11" t="s">
        <v>2371</v>
      </c>
      <c r="I1405" s="11" t="s">
        <v>2372</v>
      </c>
      <c r="J1405" s="12" t="s">
        <v>13</v>
      </c>
      <c r="K1405" s="11"/>
    </row>
    <row r="1406" spans="1:11" s="14" customFormat="1" ht="36" x14ac:dyDescent="0.25">
      <c r="A1406" s="36">
        <v>5366</v>
      </c>
      <c r="B1406" s="13" t="s">
        <v>2373</v>
      </c>
      <c r="C1406" s="25"/>
      <c r="D1406" s="11"/>
      <c r="E1406" s="36" t="s">
        <v>1451</v>
      </c>
      <c r="F1406" s="11"/>
      <c r="G1406" s="65" t="s">
        <v>13</v>
      </c>
      <c r="H1406" s="11" t="s">
        <v>2374</v>
      </c>
      <c r="I1406" s="11" t="s">
        <v>2375</v>
      </c>
      <c r="J1406" s="12" t="s">
        <v>13</v>
      </c>
      <c r="K1406" s="11"/>
    </row>
    <row r="1407" spans="1:11" s="14" customFormat="1" ht="76.7" customHeight="1" x14ac:dyDescent="0.25">
      <c r="A1407" s="36">
        <v>5367</v>
      </c>
      <c r="B1407" s="13" t="s">
        <v>2376</v>
      </c>
      <c r="C1407" s="25"/>
      <c r="D1407" s="11"/>
      <c r="E1407" s="36" t="s">
        <v>1451</v>
      </c>
      <c r="F1407" s="11"/>
      <c r="G1407" s="65" t="s">
        <v>13</v>
      </c>
      <c r="H1407" s="11" t="s">
        <v>2377</v>
      </c>
      <c r="I1407" s="11" t="s">
        <v>2378</v>
      </c>
      <c r="J1407" s="12" t="s">
        <v>13</v>
      </c>
      <c r="K1407" s="11"/>
    </row>
    <row r="1408" spans="1:11" s="14" customFormat="1" ht="41.45" customHeight="1" x14ac:dyDescent="0.25">
      <c r="A1408" s="36">
        <v>5368</v>
      </c>
      <c r="B1408" s="13" t="s">
        <v>2379</v>
      </c>
      <c r="C1408" s="25"/>
      <c r="D1408" s="11"/>
      <c r="E1408" s="36" t="s">
        <v>1451</v>
      </c>
      <c r="F1408" s="11"/>
      <c r="G1408" s="65" t="s">
        <v>13</v>
      </c>
      <c r="H1408" s="11" t="s">
        <v>2380</v>
      </c>
      <c r="I1408" s="11" t="s">
        <v>2381</v>
      </c>
      <c r="J1408" s="12" t="s">
        <v>13</v>
      </c>
      <c r="K1408" s="11"/>
    </row>
    <row r="1409" spans="1:11" s="14" customFormat="1" ht="132" customHeight="1" x14ac:dyDescent="0.25">
      <c r="A1409" s="36">
        <v>5369</v>
      </c>
      <c r="B1409" s="13" t="s">
        <v>2382</v>
      </c>
      <c r="C1409" s="25"/>
      <c r="D1409" s="11"/>
      <c r="E1409" s="36" t="s">
        <v>1451</v>
      </c>
      <c r="F1409" s="11"/>
      <c r="G1409" s="65" t="s">
        <v>13</v>
      </c>
      <c r="H1409" s="11" t="s">
        <v>2383</v>
      </c>
      <c r="I1409" s="13" t="s">
        <v>2384</v>
      </c>
      <c r="J1409" s="12" t="s">
        <v>13</v>
      </c>
      <c r="K1409" s="11"/>
    </row>
    <row r="1410" spans="1:11" s="14" customFormat="1" ht="37.700000000000003" customHeight="1" x14ac:dyDescent="0.25">
      <c r="A1410" s="36">
        <v>5370</v>
      </c>
      <c r="B1410" s="13" t="s">
        <v>2385</v>
      </c>
      <c r="C1410" s="25"/>
      <c r="D1410" s="11"/>
      <c r="E1410" s="36" t="s">
        <v>1451</v>
      </c>
      <c r="F1410" s="11"/>
      <c r="G1410" s="65" t="s">
        <v>13</v>
      </c>
      <c r="H1410" s="11" t="s">
        <v>2386</v>
      </c>
      <c r="I1410" s="11" t="s">
        <v>2387</v>
      </c>
      <c r="J1410" s="12" t="s">
        <v>13</v>
      </c>
      <c r="K1410" s="11"/>
    </row>
    <row r="1411" spans="1:11" s="14" customFormat="1" ht="41.45" customHeight="1" x14ac:dyDescent="0.25">
      <c r="A1411" s="36">
        <v>5371</v>
      </c>
      <c r="B1411" s="13" t="s">
        <v>2388</v>
      </c>
      <c r="C1411" s="25"/>
      <c r="D1411" s="11"/>
      <c r="E1411" s="36" t="s">
        <v>1451</v>
      </c>
      <c r="F1411" s="11"/>
      <c r="G1411" s="65" t="s">
        <v>13</v>
      </c>
      <c r="H1411" s="11" t="s">
        <v>2389</v>
      </c>
      <c r="I1411" s="11" t="s">
        <v>2390</v>
      </c>
      <c r="J1411" s="12" t="s">
        <v>13</v>
      </c>
      <c r="K1411" s="11"/>
    </row>
    <row r="1412" spans="1:11" s="14" customFormat="1" ht="78.599999999999994" customHeight="1" x14ac:dyDescent="0.25">
      <c r="A1412" s="36">
        <v>5372</v>
      </c>
      <c r="B1412" s="13" t="s">
        <v>2391</v>
      </c>
      <c r="C1412" s="25"/>
      <c r="D1412" s="11"/>
      <c r="E1412" s="36">
        <v>2</v>
      </c>
      <c r="F1412" s="11"/>
      <c r="G1412" s="65" t="s">
        <v>13</v>
      </c>
      <c r="H1412" s="11" t="s">
        <v>2392</v>
      </c>
      <c r="I1412" s="11" t="s">
        <v>2393</v>
      </c>
      <c r="J1412" s="12" t="s">
        <v>13</v>
      </c>
      <c r="K1412" s="11"/>
    </row>
    <row r="1413" spans="1:11" s="14" customFormat="1" ht="72" x14ac:dyDescent="0.25">
      <c r="A1413" s="36">
        <v>5373</v>
      </c>
      <c r="B1413" s="13" t="s">
        <v>2394</v>
      </c>
      <c r="C1413" s="25"/>
      <c r="D1413" s="11"/>
      <c r="E1413" s="36">
        <v>2</v>
      </c>
      <c r="F1413" s="11"/>
      <c r="G1413" s="65" t="s">
        <v>13</v>
      </c>
      <c r="H1413" s="11" t="s">
        <v>2395</v>
      </c>
      <c r="I1413" s="11" t="s">
        <v>2396</v>
      </c>
      <c r="J1413" s="12" t="s">
        <v>13</v>
      </c>
      <c r="K1413" s="11"/>
    </row>
    <row r="1414" spans="1:11" s="14" customFormat="1" ht="72" x14ac:dyDescent="0.25">
      <c r="A1414" s="36">
        <v>5374</v>
      </c>
      <c r="B1414" s="13" t="s">
        <v>2397</v>
      </c>
      <c r="C1414" s="25"/>
      <c r="D1414" s="11"/>
      <c r="E1414" s="36">
        <v>2</v>
      </c>
      <c r="F1414" s="11"/>
      <c r="G1414" s="65" t="s">
        <v>13</v>
      </c>
      <c r="H1414" s="11" t="s">
        <v>2398</v>
      </c>
      <c r="I1414" s="11" t="s">
        <v>2399</v>
      </c>
      <c r="J1414" s="12" t="s">
        <v>13</v>
      </c>
      <c r="K1414" s="11"/>
    </row>
    <row r="1415" spans="1:11" s="14" customFormat="1" ht="54" x14ac:dyDescent="0.25">
      <c r="A1415" s="36">
        <v>5375</v>
      </c>
      <c r="B1415" s="13" t="s">
        <v>2400</v>
      </c>
      <c r="C1415" s="25"/>
      <c r="D1415" s="11"/>
      <c r="E1415" s="36">
        <v>3</v>
      </c>
      <c r="F1415" s="11"/>
      <c r="G1415" s="65" t="s">
        <v>13</v>
      </c>
      <c r="H1415" s="11" t="s">
        <v>2401</v>
      </c>
      <c r="I1415" s="13" t="s">
        <v>2402</v>
      </c>
      <c r="J1415" s="12" t="s">
        <v>13</v>
      </c>
      <c r="K1415" s="11"/>
    </row>
    <row r="1416" spans="1:11" s="14" customFormat="1" ht="54" x14ac:dyDescent="0.25">
      <c r="A1416" s="36">
        <v>5376</v>
      </c>
      <c r="B1416" s="13" t="s">
        <v>2403</v>
      </c>
      <c r="C1416" s="25"/>
      <c r="D1416" s="11"/>
      <c r="E1416" s="36">
        <v>3</v>
      </c>
      <c r="F1416" s="11"/>
      <c r="G1416" s="65" t="s">
        <v>13</v>
      </c>
      <c r="H1416" s="11" t="s">
        <v>2404</v>
      </c>
      <c r="I1416" s="13" t="s">
        <v>2405</v>
      </c>
      <c r="J1416" s="12" t="s">
        <v>13</v>
      </c>
      <c r="K1416" s="11"/>
    </row>
    <row r="1417" spans="1:11" s="14" customFormat="1" ht="54" x14ac:dyDescent="0.25">
      <c r="A1417" s="36">
        <v>5377</v>
      </c>
      <c r="B1417" s="13" t="s">
        <v>2406</v>
      </c>
      <c r="C1417" s="25"/>
      <c r="D1417" s="11"/>
      <c r="E1417" s="36">
        <v>3</v>
      </c>
      <c r="F1417" s="11"/>
      <c r="G1417" s="65" t="s">
        <v>13</v>
      </c>
      <c r="H1417" s="11" t="s">
        <v>2407</v>
      </c>
      <c r="I1417" s="11" t="s">
        <v>2408</v>
      </c>
      <c r="J1417" s="12" t="s">
        <v>13</v>
      </c>
      <c r="K1417" s="11"/>
    </row>
    <row r="1418" spans="1:11" s="14" customFormat="1" ht="36" x14ac:dyDescent="0.25">
      <c r="A1418" s="36">
        <v>5378</v>
      </c>
      <c r="B1418" s="13" t="s">
        <v>2409</v>
      </c>
      <c r="C1418" s="25"/>
      <c r="D1418" s="11"/>
      <c r="E1418" s="36">
        <v>2</v>
      </c>
      <c r="F1418" s="11"/>
      <c r="G1418" s="65" t="s">
        <v>13</v>
      </c>
      <c r="H1418" s="11" t="s">
        <v>2410</v>
      </c>
      <c r="I1418" s="11" t="s">
        <v>2411</v>
      </c>
      <c r="J1418" s="12" t="s">
        <v>13</v>
      </c>
      <c r="K1418" s="11"/>
    </row>
    <row r="1419" spans="1:11" s="14" customFormat="1" ht="36" x14ac:dyDescent="0.25">
      <c r="A1419" s="36">
        <v>5379</v>
      </c>
      <c r="B1419" s="13" t="s">
        <v>2412</v>
      </c>
      <c r="C1419" s="25"/>
      <c r="D1419" s="11"/>
      <c r="E1419" s="36" t="s">
        <v>1451</v>
      </c>
      <c r="F1419" s="11"/>
      <c r="G1419" s="65" t="s">
        <v>13</v>
      </c>
      <c r="H1419" s="11" t="s">
        <v>2413</v>
      </c>
      <c r="I1419" s="11" t="s">
        <v>2414</v>
      </c>
      <c r="J1419" s="12" t="s">
        <v>13</v>
      </c>
      <c r="K1419" s="11"/>
    </row>
    <row r="1420" spans="1:11" s="14" customFormat="1" ht="36" x14ac:dyDescent="0.25">
      <c r="A1420" s="36">
        <v>5380</v>
      </c>
      <c r="B1420" s="13" t="s">
        <v>2415</v>
      </c>
      <c r="C1420" s="25"/>
      <c r="D1420" s="11"/>
      <c r="E1420" s="36">
        <v>3</v>
      </c>
      <c r="F1420" s="11"/>
      <c r="G1420" s="65" t="s">
        <v>13</v>
      </c>
      <c r="H1420" s="11" t="s">
        <v>2416</v>
      </c>
      <c r="I1420" s="11" t="s">
        <v>2417</v>
      </c>
      <c r="J1420" s="12" t="s">
        <v>13</v>
      </c>
      <c r="K1420" s="11"/>
    </row>
    <row r="1421" spans="1:11" s="63" customFormat="1" ht="90" x14ac:dyDescent="0.25">
      <c r="A1421" s="36">
        <v>5381</v>
      </c>
      <c r="B1421" s="13" t="s">
        <v>2418</v>
      </c>
      <c r="C1421" s="60"/>
      <c r="D1421" s="61"/>
      <c r="E1421" s="103"/>
      <c r="F1421" s="61"/>
      <c r="G1421" s="62" t="s">
        <v>13</v>
      </c>
      <c r="H1421" s="61" t="s">
        <v>2419</v>
      </c>
      <c r="I1421" s="69" t="s">
        <v>2420</v>
      </c>
      <c r="J1421" s="12" t="s">
        <v>13</v>
      </c>
      <c r="K1421" s="61"/>
    </row>
    <row r="1422" spans="1:11" s="14" customFormat="1" ht="36" x14ac:dyDescent="0.25">
      <c r="A1422" s="36">
        <v>5382</v>
      </c>
      <c r="B1422" s="13" t="s">
        <v>2421</v>
      </c>
      <c r="C1422" s="25"/>
      <c r="D1422" s="11"/>
      <c r="E1422" s="36" t="s">
        <v>1451</v>
      </c>
      <c r="F1422" s="11"/>
      <c r="G1422" s="65" t="s">
        <v>13</v>
      </c>
      <c r="H1422" s="11" t="s">
        <v>2422</v>
      </c>
      <c r="I1422" s="11" t="s">
        <v>2423</v>
      </c>
      <c r="J1422" s="12" t="s">
        <v>13</v>
      </c>
      <c r="K1422" s="11"/>
    </row>
    <row r="1423" spans="1:11" s="14" customFormat="1" ht="18" x14ac:dyDescent="0.25">
      <c r="A1423" s="36"/>
      <c r="B1423" s="13"/>
      <c r="C1423" s="11"/>
      <c r="D1423" s="11"/>
      <c r="E1423" s="36"/>
      <c r="F1423" s="11"/>
      <c r="G1423" s="11"/>
      <c r="H1423" s="11"/>
      <c r="I1423" s="11"/>
      <c r="J1423" s="12" t="s">
        <v>13</v>
      </c>
      <c r="K1423" s="11"/>
    </row>
    <row r="1424" spans="1:11" s="14" customFormat="1" ht="40.700000000000003" customHeight="1" x14ac:dyDescent="0.25">
      <c r="A1424" s="36">
        <v>5383</v>
      </c>
      <c r="B1424" s="13" t="s">
        <v>2424</v>
      </c>
      <c r="C1424" s="25"/>
      <c r="D1424" s="11"/>
      <c r="E1424" s="36">
        <v>18</v>
      </c>
      <c r="F1424" s="11"/>
      <c r="G1424" s="65" t="s">
        <v>13</v>
      </c>
      <c r="H1424" s="11" t="s">
        <v>2425</v>
      </c>
      <c r="I1424" s="11" t="s">
        <v>2426</v>
      </c>
      <c r="J1424" s="12" t="s">
        <v>13</v>
      </c>
      <c r="K1424" s="11"/>
    </row>
    <row r="1425" spans="1:11" s="14" customFormat="1" ht="72" x14ac:dyDescent="0.25">
      <c r="A1425" s="36">
        <v>5384</v>
      </c>
      <c r="B1425" s="13" t="s">
        <v>2427</v>
      </c>
      <c r="C1425" s="25"/>
      <c r="D1425" s="11"/>
      <c r="E1425" s="36"/>
      <c r="F1425" s="11"/>
      <c r="G1425" s="65" t="s">
        <v>13</v>
      </c>
      <c r="H1425" s="11" t="s">
        <v>2428</v>
      </c>
      <c r="I1425" s="11" t="s">
        <v>2429</v>
      </c>
      <c r="J1425" s="74" t="s">
        <v>13</v>
      </c>
      <c r="K1425" s="11"/>
    </row>
    <row r="1426" spans="1:11" s="14" customFormat="1" ht="54" x14ac:dyDescent="0.25">
      <c r="A1426" s="36">
        <v>5385</v>
      </c>
      <c r="B1426" s="13" t="s">
        <v>2430</v>
      </c>
      <c r="C1426" s="25"/>
      <c r="D1426" s="11"/>
      <c r="E1426" s="36"/>
      <c r="F1426" s="11"/>
      <c r="G1426" s="65" t="s">
        <v>13</v>
      </c>
      <c r="H1426" s="11" t="s">
        <v>2431</v>
      </c>
      <c r="I1426" s="11" t="s">
        <v>2432</v>
      </c>
      <c r="J1426" s="74" t="s">
        <v>13</v>
      </c>
      <c r="K1426" s="11"/>
    </row>
    <row r="1427" spans="1:11" s="14" customFormat="1" ht="95.45" customHeight="1" x14ac:dyDescent="0.25">
      <c r="A1427" s="36">
        <v>5386</v>
      </c>
      <c r="B1427" s="13" t="s">
        <v>2433</v>
      </c>
      <c r="C1427" s="25"/>
      <c r="D1427" s="11"/>
      <c r="E1427" s="36" t="s">
        <v>1451</v>
      </c>
      <c r="F1427" s="11"/>
      <c r="G1427" s="65" t="s">
        <v>13</v>
      </c>
      <c r="H1427" s="11" t="s">
        <v>2434</v>
      </c>
      <c r="I1427" s="13" t="s">
        <v>2435</v>
      </c>
      <c r="J1427" s="12" t="s">
        <v>13</v>
      </c>
      <c r="K1427" s="11"/>
    </row>
    <row r="1428" spans="1:11" s="14" customFormat="1" ht="94.35" customHeight="1" x14ac:dyDescent="0.25">
      <c r="A1428" s="36">
        <v>5387</v>
      </c>
      <c r="B1428" s="13" t="s">
        <v>2436</v>
      </c>
      <c r="C1428" s="25"/>
      <c r="D1428" s="11"/>
      <c r="E1428" s="36" t="s">
        <v>1451</v>
      </c>
      <c r="F1428" s="11"/>
      <c r="G1428" s="65" t="s">
        <v>13</v>
      </c>
      <c r="H1428" s="11" t="s">
        <v>2437</v>
      </c>
      <c r="I1428" s="13" t="s">
        <v>2438</v>
      </c>
      <c r="J1428" s="12" t="s">
        <v>13</v>
      </c>
      <c r="K1428" s="11"/>
    </row>
    <row r="1429" spans="1:11" s="14" customFormat="1" ht="54" x14ac:dyDescent="0.25">
      <c r="A1429" s="36">
        <v>5388</v>
      </c>
      <c r="B1429" s="13" t="s">
        <v>2439</v>
      </c>
      <c r="C1429" s="25"/>
      <c r="D1429" s="11"/>
      <c r="E1429" s="36" t="s">
        <v>1451</v>
      </c>
      <c r="F1429" s="11"/>
      <c r="G1429" s="65" t="s">
        <v>13</v>
      </c>
      <c r="H1429" s="11" t="s">
        <v>2440</v>
      </c>
      <c r="I1429" s="13" t="s">
        <v>2441</v>
      </c>
      <c r="J1429" s="12" t="s">
        <v>13</v>
      </c>
      <c r="K1429" s="11"/>
    </row>
    <row r="1430" spans="1:11" s="14" customFormat="1" ht="54" x14ac:dyDescent="0.25">
      <c r="A1430" s="36">
        <v>5389</v>
      </c>
      <c r="B1430" s="13" t="s">
        <v>2442</v>
      </c>
      <c r="C1430" s="25"/>
      <c r="D1430" s="11"/>
      <c r="E1430" s="36" t="s">
        <v>1451</v>
      </c>
      <c r="F1430" s="11"/>
      <c r="G1430" s="65" t="s">
        <v>13</v>
      </c>
      <c r="H1430" s="11" t="s">
        <v>2443</v>
      </c>
      <c r="I1430" s="13" t="s">
        <v>2441</v>
      </c>
      <c r="J1430" s="12" t="s">
        <v>13</v>
      </c>
      <c r="K1430" s="11"/>
    </row>
    <row r="1431" spans="1:11" s="14" customFormat="1" ht="54" x14ac:dyDescent="0.25">
      <c r="A1431" s="36">
        <v>5390</v>
      </c>
      <c r="B1431" s="13" t="s">
        <v>2444</v>
      </c>
      <c r="C1431" s="25"/>
      <c r="D1431" s="11"/>
      <c r="E1431" s="36" t="s">
        <v>1451</v>
      </c>
      <c r="F1431" s="11"/>
      <c r="G1431" s="65" t="s">
        <v>13</v>
      </c>
      <c r="H1431" s="11" t="s">
        <v>2445</v>
      </c>
      <c r="I1431" s="11" t="s">
        <v>2446</v>
      </c>
      <c r="J1431" s="12" t="s">
        <v>13</v>
      </c>
      <c r="K1431" s="11"/>
    </row>
    <row r="1432" spans="1:11" s="14" customFormat="1" ht="57" customHeight="1" x14ac:dyDescent="0.25">
      <c r="A1432" s="36">
        <v>5391</v>
      </c>
      <c r="B1432" s="13" t="s">
        <v>2447</v>
      </c>
      <c r="C1432" s="25"/>
      <c r="D1432" s="11"/>
      <c r="E1432" s="21" t="s">
        <v>1451</v>
      </c>
      <c r="F1432" s="11"/>
      <c r="G1432" s="65" t="s">
        <v>13</v>
      </c>
      <c r="H1432" s="11" t="s">
        <v>2448</v>
      </c>
      <c r="I1432" s="11" t="s">
        <v>2449</v>
      </c>
      <c r="J1432" s="12" t="s">
        <v>13</v>
      </c>
      <c r="K1432" s="11"/>
    </row>
    <row r="1433" spans="1:11" s="14" customFormat="1" ht="54" x14ac:dyDescent="0.25">
      <c r="A1433" s="36">
        <v>5392</v>
      </c>
      <c r="B1433" s="13" t="s">
        <v>2450</v>
      </c>
      <c r="C1433" s="25"/>
      <c r="D1433" s="11"/>
      <c r="E1433" s="36">
        <v>4</v>
      </c>
      <c r="F1433" s="11"/>
      <c r="G1433" s="65" t="s">
        <v>13</v>
      </c>
      <c r="H1433" s="11" t="s">
        <v>2451</v>
      </c>
      <c r="I1433" s="13" t="s">
        <v>2452</v>
      </c>
      <c r="J1433" s="12" t="s">
        <v>13</v>
      </c>
      <c r="K1433" s="11"/>
    </row>
    <row r="1434" spans="1:11" s="14" customFormat="1" ht="54" x14ac:dyDescent="0.25">
      <c r="A1434" s="36">
        <v>5393</v>
      </c>
      <c r="B1434" s="13" t="s">
        <v>2453</v>
      </c>
      <c r="C1434" s="25"/>
      <c r="D1434" s="11"/>
      <c r="E1434" s="36">
        <v>8</v>
      </c>
      <c r="F1434" s="11"/>
      <c r="G1434" s="65" t="s">
        <v>13</v>
      </c>
      <c r="H1434" s="11" t="s">
        <v>2454</v>
      </c>
      <c r="I1434" s="13" t="s">
        <v>2455</v>
      </c>
      <c r="J1434" s="12" t="s">
        <v>13</v>
      </c>
      <c r="K1434" s="11"/>
    </row>
    <row r="1435" spans="1:11" s="14" customFormat="1" ht="54" x14ac:dyDescent="0.25">
      <c r="A1435" s="36">
        <v>5394</v>
      </c>
      <c r="B1435" s="13" t="s">
        <v>2456</v>
      </c>
      <c r="C1435" s="25"/>
      <c r="D1435" s="11"/>
      <c r="E1435" s="36">
        <v>8</v>
      </c>
      <c r="F1435" s="11"/>
      <c r="G1435" s="65" t="s">
        <v>13</v>
      </c>
      <c r="H1435" s="11" t="s">
        <v>2457</v>
      </c>
      <c r="I1435" s="13" t="s">
        <v>2458</v>
      </c>
      <c r="J1435" s="12" t="s">
        <v>13</v>
      </c>
      <c r="K1435" s="11"/>
    </row>
    <row r="1436" spans="1:11" s="14" customFormat="1" ht="54" x14ac:dyDescent="0.25">
      <c r="A1436" s="36">
        <v>5395</v>
      </c>
      <c r="B1436" s="13" t="s">
        <v>2459</v>
      </c>
      <c r="C1436" s="25"/>
      <c r="D1436" s="11"/>
      <c r="E1436" s="36">
        <v>8</v>
      </c>
      <c r="F1436" s="11"/>
      <c r="G1436" s="65" t="s">
        <v>13</v>
      </c>
      <c r="H1436" s="11" t="s">
        <v>2460</v>
      </c>
      <c r="I1436" s="13" t="s">
        <v>2461</v>
      </c>
      <c r="J1436" s="12" t="s">
        <v>13</v>
      </c>
      <c r="K1436" s="11"/>
    </row>
    <row r="1437" spans="1:11" s="14" customFormat="1" ht="54" x14ac:dyDescent="0.25">
      <c r="A1437" s="36">
        <v>5396</v>
      </c>
      <c r="B1437" s="13" t="s">
        <v>2462</v>
      </c>
      <c r="C1437" s="25"/>
      <c r="D1437" s="11"/>
      <c r="E1437" s="36">
        <v>8</v>
      </c>
      <c r="F1437" s="11"/>
      <c r="G1437" s="65" t="s">
        <v>13</v>
      </c>
      <c r="H1437" s="11" t="s">
        <v>2463</v>
      </c>
      <c r="I1437" s="13" t="s">
        <v>2464</v>
      </c>
      <c r="J1437" s="12" t="s">
        <v>13</v>
      </c>
      <c r="K1437" s="11"/>
    </row>
    <row r="1438" spans="1:11" s="14" customFormat="1" ht="54" x14ac:dyDescent="0.25">
      <c r="A1438" s="36">
        <v>5397</v>
      </c>
      <c r="B1438" s="13" t="s">
        <v>2465</v>
      </c>
      <c r="C1438" s="25"/>
      <c r="D1438" s="11"/>
      <c r="E1438" s="36">
        <v>8</v>
      </c>
      <c r="F1438" s="11"/>
      <c r="G1438" s="65" t="s">
        <v>13</v>
      </c>
      <c r="H1438" s="11" t="s">
        <v>2466</v>
      </c>
      <c r="I1438" s="13" t="s">
        <v>2467</v>
      </c>
      <c r="J1438" s="12" t="s">
        <v>13</v>
      </c>
      <c r="K1438" s="11"/>
    </row>
    <row r="1439" spans="1:11" s="14" customFormat="1" ht="54" x14ac:dyDescent="0.25">
      <c r="A1439" s="36">
        <v>5398</v>
      </c>
      <c r="B1439" s="13" t="s">
        <v>2468</v>
      </c>
      <c r="C1439" s="25"/>
      <c r="D1439" s="11"/>
      <c r="E1439" s="36">
        <v>8</v>
      </c>
      <c r="F1439" s="11"/>
      <c r="G1439" s="65" t="s">
        <v>13</v>
      </c>
      <c r="H1439" s="11" t="s">
        <v>2469</v>
      </c>
      <c r="I1439" s="13" t="s">
        <v>2470</v>
      </c>
      <c r="J1439" s="12" t="s">
        <v>13</v>
      </c>
      <c r="K1439" s="11"/>
    </row>
    <row r="1440" spans="1:11" s="14" customFormat="1" ht="54" x14ac:dyDescent="0.25">
      <c r="A1440" s="36">
        <v>5399</v>
      </c>
      <c r="B1440" s="13" t="s">
        <v>2471</v>
      </c>
      <c r="C1440" s="25"/>
      <c r="D1440" s="11"/>
      <c r="E1440" s="36">
        <v>8</v>
      </c>
      <c r="F1440" s="11"/>
      <c r="G1440" s="65" t="s">
        <v>13</v>
      </c>
      <c r="H1440" s="11" t="s">
        <v>2472</v>
      </c>
      <c r="I1440" s="13" t="s">
        <v>2473</v>
      </c>
      <c r="J1440" s="12" t="s">
        <v>13</v>
      </c>
      <c r="K1440" s="11"/>
    </row>
    <row r="1441" spans="1:11" s="14" customFormat="1" ht="54" x14ac:dyDescent="0.25">
      <c r="A1441" s="36">
        <v>5400</v>
      </c>
      <c r="B1441" s="13" t="s">
        <v>2474</v>
      </c>
      <c r="C1441" s="25"/>
      <c r="D1441" s="11"/>
      <c r="E1441" s="36">
        <v>6</v>
      </c>
      <c r="F1441" s="11"/>
      <c r="G1441" s="65" t="s">
        <v>13</v>
      </c>
      <c r="H1441" s="11" t="s">
        <v>2475</v>
      </c>
      <c r="I1441" s="13" t="s">
        <v>2476</v>
      </c>
      <c r="J1441" s="12" t="s">
        <v>13</v>
      </c>
      <c r="K1441" s="11"/>
    </row>
    <row r="1442" spans="1:11" s="14" customFormat="1" ht="54" x14ac:dyDescent="0.25">
      <c r="A1442" s="36">
        <v>5401</v>
      </c>
      <c r="B1442" s="13" t="s">
        <v>2477</v>
      </c>
      <c r="C1442" s="25"/>
      <c r="D1442" s="11"/>
      <c r="E1442" s="36">
        <v>6</v>
      </c>
      <c r="F1442" s="11"/>
      <c r="G1442" s="65" t="s">
        <v>13</v>
      </c>
      <c r="H1442" s="11" t="s">
        <v>2478</v>
      </c>
      <c r="I1442" s="13" t="s">
        <v>2479</v>
      </c>
      <c r="J1442" s="12" t="s">
        <v>13</v>
      </c>
      <c r="K1442" s="11"/>
    </row>
    <row r="1443" spans="1:11" s="14" customFormat="1" ht="54" x14ac:dyDescent="0.25">
      <c r="A1443" s="36">
        <v>5402</v>
      </c>
      <c r="B1443" s="13" t="s">
        <v>2471</v>
      </c>
      <c r="C1443" s="25"/>
      <c r="D1443" s="11"/>
      <c r="E1443" s="36">
        <v>8</v>
      </c>
      <c r="F1443" s="11"/>
      <c r="G1443" s="65" t="s">
        <v>13</v>
      </c>
      <c r="H1443" s="11" t="s">
        <v>2472</v>
      </c>
      <c r="I1443" s="13" t="s">
        <v>2473</v>
      </c>
      <c r="J1443" s="12" t="s">
        <v>13</v>
      </c>
      <c r="K1443" s="11"/>
    </row>
    <row r="1444" spans="1:11" s="14" customFormat="1" ht="54" x14ac:dyDescent="0.25">
      <c r="A1444" s="36">
        <v>5403</v>
      </c>
      <c r="B1444" s="13" t="s">
        <v>2480</v>
      </c>
      <c r="C1444" s="25"/>
      <c r="D1444" s="11"/>
      <c r="E1444" s="36">
        <v>8</v>
      </c>
      <c r="F1444" s="11"/>
      <c r="G1444" s="65" t="s">
        <v>13</v>
      </c>
      <c r="H1444" s="11" t="s">
        <v>2481</v>
      </c>
      <c r="I1444" s="11" t="s">
        <v>2482</v>
      </c>
      <c r="J1444" s="12" t="s">
        <v>13</v>
      </c>
      <c r="K1444" s="11"/>
    </row>
    <row r="1445" spans="1:11" s="14" customFormat="1" ht="36" x14ac:dyDescent="0.25">
      <c r="A1445" s="36">
        <v>5404</v>
      </c>
      <c r="B1445" s="13" t="s">
        <v>2483</v>
      </c>
      <c r="C1445" s="25"/>
      <c r="D1445" s="11"/>
      <c r="E1445" s="36">
        <v>3</v>
      </c>
      <c r="F1445" s="11"/>
      <c r="G1445" s="65" t="s">
        <v>13</v>
      </c>
      <c r="H1445" s="11" t="s">
        <v>2484</v>
      </c>
      <c r="I1445" s="11" t="s">
        <v>2485</v>
      </c>
      <c r="J1445" s="12" t="s">
        <v>13</v>
      </c>
      <c r="K1445" s="11"/>
    </row>
    <row r="1446" spans="1:11" s="14" customFormat="1" ht="72" x14ac:dyDescent="0.25">
      <c r="A1446" s="36">
        <v>5405</v>
      </c>
      <c r="B1446" s="13" t="s">
        <v>2486</v>
      </c>
      <c r="C1446" s="25"/>
      <c r="D1446" s="11"/>
      <c r="E1446" s="36">
        <v>3</v>
      </c>
      <c r="F1446" s="11"/>
      <c r="G1446" s="65" t="s">
        <v>13</v>
      </c>
      <c r="H1446" s="11" t="s">
        <v>2487</v>
      </c>
      <c r="I1446" s="11" t="s">
        <v>2488</v>
      </c>
      <c r="J1446" s="12" t="s">
        <v>13</v>
      </c>
      <c r="K1446" s="11"/>
    </row>
    <row r="1447" spans="1:11" s="14" customFormat="1" ht="73.349999999999994" customHeight="1" x14ac:dyDescent="0.25">
      <c r="A1447" s="36">
        <v>5406</v>
      </c>
      <c r="B1447" s="13" t="s">
        <v>2489</v>
      </c>
      <c r="C1447" s="25"/>
      <c r="D1447" s="11"/>
      <c r="E1447" s="36">
        <v>3</v>
      </c>
      <c r="F1447" s="11"/>
      <c r="G1447" s="65" t="s">
        <v>13</v>
      </c>
      <c r="H1447" s="11" t="s">
        <v>2490</v>
      </c>
      <c r="I1447" s="11" t="s">
        <v>2488</v>
      </c>
      <c r="J1447" s="12" t="s">
        <v>13</v>
      </c>
      <c r="K1447" s="11"/>
    </row>
    <row r="1448" spans="1:11" s="14" customFormat="1" ht="77.45" customHeight="1" x14ac:dyDescent="0.25">
      <c r="A1448" s="36">
        <v>5407</v>
      </c>
      <c r="B1448" s="13" t="s">
        <v>2491</v>
      </c>
      <c r="C1448" s="25"/>
      <c r="D1448" s="11"/>
      <c r="E1448" s="36">
        <v>16</v>
      </c>
      <c r="F1448" s="11"/>
      <c r="G1448" s="65" t="s">
        <v>13</v>
      </c>
      <c r="H1448" s="11" t="s">
        <v>2492</v>
      </c>
      <c r="I1448" s="11" t="s">
        <v>2493</v>
      </c>
      <c r="J1448" s="12" t="s">
        <v>13</v>
      </c>
      <c r="K1448" s="11"/>
    </row>
    <row r="1449" spans="1:11" s="14" customFormat="1" ht="58.7" customHeight="1" x14ac:dyDescent="0.25">
      <c r="A1449" s="36">
        <v>5408</v>
      </c>
      <c r="B1449" s="13" t="s">
        <v>2494</v>
      </c>
      <c r="C1449" s="25"/>
      <c r="D1449" s="11"/>
      <c r="E1449" s="36">
        <v>16</v>
      </c>
      <c r="F1449" s="11"/>
      <c r="G1449" s="65" t="s">
        <v>13</v>
      </c>
      <c r="H1449" s="11" t="s">
        <v>2495</v>
      </c>
      <c r="I1449" s="11" t="s">
        <v>2493</v>
      </c>
      <c r="J1449" s="12" t="s">
        <v>13</v>
      </c>
      <c r="K1449" s="11"/>
    </row>
    <row r="1450" spans="1:11" s="14" customFormat="1" ht="54" x14ac:dyDescent="0.25">
      <c r="A1450" s="36">
        <v>5409</v>
      </c>
      <c r="B1450" s="13" t="s">
        <v>2496</v>
      </c>
      <c r="C1450" s="25"/>
      <c r="D1450" s="11"/>
      <c r="E1450" s="36">
        <v>3</v>
      </c>
      <c r="F1450" s="11"/>
      <c r="G1450" s="65" t="s">
        <v>13</v>
      </c>
      <c r="H1450" s="11" t="s">
        <v>2497</v>
      </c>
      <c r="I1450" s="11" t="s">
        <v>2498</v>
      </c>
      <c r="J1450" s="12" t="s">
        <v>13</v>
      </c>
      <c r="K1450" s="11"/>
    </row>
    <row r="1451" spans="1:11" s="14" customFormat="1" ht="54" x14ac:dyDescent="0.25">
      <c r="A1451" s="36">
        <v>5410</v>
      </c>
      <c r="B1451" s="13" t="s">
        <v>2499</v>
      </c>
      <c r="C1451" s="25"/>
      <c r="D1451" s="11"/>
      <c r="E1451" s="36">
        <v>3</v>
      </c>
      <c r="F1451" s="11"/>
      <c r="G1451" s="65" t="s">
        <v>13</v>
      </c>
      <c r="H1451" s="11" t="s">
        <v>2500</v>
      </c>
      <c r="I1451" s="11" t="s">
        <v>2498</v>
      </c>
      <c r="J1451" s="12" t="s">
        <v>13</v>
      </c>
      <c r="K1451" s="11"/>
    </row>
    <row r="1452" spans="1:11" s="14" customFormat="1" ht="72" x14ac:dyDescent="0.25">
      <c r="A1452" s="36">
        <v>5411</v>
      </c>
      <c r="B1452" s="13" t="s">
        <v>2501</v>
      </c>
      <c r="C1452" s="25"/>
      <c r="D1452" s="11"/>
      <c r="E1452" s="36" t="s">
        <v>1451</v>
      </c>
      <c r="F1452" s="11"/>
      <c r="G1452" s="65" t="s">
        <v>13</v>
      </c>
      <c r="H1452" s="11" t="s">
        <v>2502</v>
      </c>
      <c r="I1452" s="11" t="s">
        <v>2503</v>
      </c>
      <c r="J1452" s="12" t="s">
        <v>13</v>
      </c>
      <c r="K1452" s="11"/>
    </row>
    <row r="1453" spans="1:11" s="14" customFormat="1" ht="72" x14ac:dyDescent="0.25">
      <c r="A1453" s="36">
        <v>5412</v>
      </c>
      <c r="B1453" s="13" t="s">
        <v>2504</v>
      </c>
      <c r="C1453" s="25"/>
      <c r="D1453" s="11"/>
      <c r="E1453" s="36" t="s">
        <v>1451</v>
      </c>
      <c r="F1453" s="11"/>
      <c r="G1453" s="65" t="s">
        <v>13</v>
      </c>
      <c r="H1453" s="11" t="s">
        <v>2505</v>
      </c>
      <c r="I1453" s="11" t="s">
        <v>2503</v>
      </c>
      <c r="J1453" s="12" t="s">
        <v>13</v>
      </c>
      <c r="K1453" s="11"/>
    </row>
    <row r="1454" spans="1:11" s="14" customFormat="1" ht="72" x14ac:dyDescent="0.25">
      <c r="A1454" s="36">
        <v>5413</v>
      </c>
      <c r="B1454" s="13" t="s">
        <v>2506</v>
      </c>
      <c r="C1454" s="25"/>
      <c r="D1454" s="11"/>
      <c r="E1454" s="36" t="s">
        <v>1451</v>
      </c>
      <c r="F1454" s="11"/>
      <c r="G1454" s="65" t="s">
        <v>13</v>
      </c>
      <c r="H1454" s="11" t="s">
        <v>2507</v>
      </c>
      <c r="I1454" s="11" t="s">
        <v>2508</v>
      </c>
      <c r="J1454" s="12" t="s">
        <v>13</v>
      </c>
      <c r="K1454" s="11"/>
    </row>
    <row r="1455" spans="1:11" s="14" customFormat="1" ht="72" x14ac:dyDescent="0.25">
      <c r="A1455" s="36">
        <v>5414</v>
      </c>
      <c r="B1455" s="13" t="s">
        <v>2509</v>
      </c>
      <c r="C1455" s="25"/>
      <c r="D1455" s="11"/>
      <c r="E1455" s="36" t="s">
        <v>1451</v>
      </c>
      <c r="F1455" s="11"/>
      <c r="G1455" s="65" t="s">
        <v>13</v>
      </c>
      <c r="H1455" s="11" t="s">
        <v>2510</v>
      </c>
      <c r="I1455" s="11" t="s">
        <v>2508</v>
      </c>
      <c r="J1455" s="12" t="s">
        <v>13</v>
      </c>
      <c r="K1455" s="11"/>
    </row>
    <row r="1456" spans="1:11" s="14" customFormat="1" ht="18" x14ac:dyDescent="0.25">
      <c r="A1456" s="36"/>
      <c r="B1456" s="13"/>
      <c r="C1456" s="25"/>
      <c r="D1456" s="11"/>
      <c r="E1456" s="36"/>
      <c r="F1456" s="11"/>
      <c r="G1456" s="65"/>
      <c r="H1456" s="11"/>
      <c r="I1456" s="11"/>
      <c r="J1456" s="12" t="s">
        <v>13</v>
      </c>
      <c r="K1456" s="11"/>
    </row>
    <row r="1457" spans="1:11" s="14" customFormat="1" ht="18" x14ac:dyDescent="0.25">
      <c r="A1457" s="57"/>
      <c r="B1457" s="58" t="s">
        <v>2511</v>
      </c>
      <c r="C1457" s="59"/>
      <c r="D1457" s="59"/>
      <c r="E1457" s="57"/>
      <c r="F1457" s="59"/>
      <c r="G1457" s="65"/>
      <c r="H1457" s="59"/>
      <c r="I1457" s="59"/>
      <c r="J1457" s="12" t="s">
        <v>13</v>
      </c>
      <c r="K1457" s="11"/>
    </row>
    <row r="1458" spans="1:11" s="14" customFormat="1" ht="72" x14ac:dyDescent="0.25">
      <c r="A1458" s="36">
        <v>5415</v>
      </c>
      <c r="B1458" s="13" t="s">
        <v>2512</v>
      </c>
      <c r="C1458" s="25"/>
      <c r="D1458" s="11"/>
      <c r="E1458" s="36" t="s">
        <v>1451</v>
      </c>
      <c r="F1458" s="11"/>
      <c r="G1458" s="65" t="s">
        <v>13</v>
      </c>
      <c r="H1458" s="11" t="s">
        <v>2513</v>
      </c>
      <c r="I1458" s="11" t="s">
        <v>2514</v>
      </c>
      <c r="J1458" s="12" t="s">
        <v>13</v>
      </c>
      <c r="K1458" s="11"/>
    </row>
    <row r="1459" spans="1:11" s="14" customFormat="1" ht="54" x14ac:dyDescent="0.25">
      <c r="A1459" s="36">
        <v>5416</v>
      </c>
      <c r="B1459" s="13" t="s">
        <v>2515</v>
      </c>
      <c r="C1459" s="25"/>
      <c r="D1459" s="11"/>
      <c r="E1459" s="36">
        <v>3</v>
      </c>
      <c r="F1459" s="11"/>
      <c r="G1459" s="65" t="s">
        <v>13</v>
      </c>
      <c r="H1459" s="11" t="s">
        <v>2516</v>
      </c>
      <c r="I1459" s="13" t="s">
        <v>2517</v>
      </c>
      <c r="J1459" s="12" t="s">
        <v>13</v>
      </c>
      <c r="K1459" s="11"/>
    </row>
    <row r="1460" spans="1:11" s="14" customFormat="1" ht="54" x14ac:dyDescent="0.25">
      <c r="A1460" s="36">
        <v>5417</v>
      </c>
      <c r="B1460" s="13" t="s">
        <v>2518</v>
      </c>
      <c r="C1460" s="25"/>
      <c r="D1460" s="11"/>
      <c r="E1460" s="36">
        <v>4</v>
      </c>
      <c r="F1460" s="11"/>
      <c r="G1460" s="65" t="s">
        <v>13</v>
      </c>
      <c r="H1460" s="11" t="s">
        <v>2519</v>
      </c>
      <c r="I1460" s="13" t="s">
        <v>2520</v>
      </c>
      <c r="J1460" s="12" t="s">
        <v>13</v>
      </c>
      <c r="K1460" s="11"/>
    </row>
    <row r="1461" spans="1:11" s="14" customFormat="1" ht="72" x14ac:dyDescent="0.25">
      <c r="A1461" s="36">
        <v>5418</v>
      </c>
      <c r="B1461" s="13" t="s">
        <v>2521</v>
      </c>
      <c r="C1461" s="25"/>
      <c r="D1461" s="11"/>
      <c r="E1461" s="36">
        <v>3</v>
      </c>
      <c r="F1461" s="11"/>
      <c r="G1461" s="65" t="s">
        <v>13</v>
      </c>
      <c r="H1461" s="11" t="s">
        <v>2522</v>
      </c>
      <c r="I1461" s="13" t="s">
        <v>2523</v>
      </c>
      <c r="J1461" s="12" t="s">
        <v>13</v>
      </c>
      <c r="K1461" s="11"/>
    </row>
    <row r="1462" spans="1:11" s="14" customFormat="1" ht="72" x14ac:dyDescent="0.25">
      <c r="A1462" s="36">
        <v>5419</v>
      </c>
      <c r="B1462" s="13" t="s">
        <v>2524</v>
      </c>
      <c r="C1462" s="25"/>
      <c r="D1462" s="11"/>
      <c r="E1462" s="36">
        <v>3</v>
      </c>
      <c r="F1462" s="11"/>
      <c r="G1462" s="65" t="s">
        <v>13</v>
      </c>
      <c r="H1462" s="11" t="s">
        <v>2525</v>
      </c>
      <c r="I1462" s="13" t="s">
        <v>2526</v>
      </c>
      <c r="J1462" s="12" t="s">
        <v>13</v>
      </c>
      <c r="K1462" s="11"/>
    </row>
    <row r="1463" spans="1:11" s="14" customFormat="1" ht="36" x14ac:dyDescent="0.25">
      <c r="A1463" s="36">
        <v>5420</v>
      </c>
      <c r="B1463" s="13" t="s">
        <v>2527</v>
      </c>
      <c r="C1463" s="25"/>
      <c r="D1463" s="11"/>
      <c r="E1463" s="36">
        <v>3</v>
      </c>
      <c r="F1463" s="11"/>
      <c r="G1463" s="65" t="s">
        <v>13</v>
      </c>
      <c r="H1463" s="11" t="s">
        <v>2528</v>
      </c>
      <c r="I1463" s="11" t="s">
        <v>2529</v>
      </c>
      <c r="J1463" s="12" t="s">
        <v>13</v>
      </c>
      <c r="K1463" s="11"/>
    </row>
    <row r="1464" spans="1:11" s="63" customFormat="1" ht="144" x14ac:dyDescent="0.25">
      <c r="A1464" s="36">
        <v>5421</v>
      </c>
      <c r="B1464" s="13" t="s">
        <v>2530</v>
      </c>
      <c r="C1464" s="60"/>
      <c r="D1464" s="61"/>
      <c r="E1464" s="36">
        <v>30</v>
      </c>
      <c r="F1464" s="61"/>
      <c r="G1464" s="62" t="s">
        <v>13</v>
      </c>
      <c r="H1464" s="61" t="s">
        <v>2531</v>
      </c>
      <c r="I1464" s="61" t="s">
        <v>2532</v>
      </c>
      <c r="J1464" s="12" t="s">
        <v>13</v>
      </c>
      <c r="K1464" s="61"/>
    </row>
    <row r="1465" spans="1:11" s="14" customFormat="1" ht="90" x14ac:dyDescent="0.25">
      <c r="A1465" s="36">
        <v>5422</v>
      </c>
      <c r="B1465" s="13" t="s">
        <v>2533</v>
      </c>
      <c r="C1465" s="25"/>
      <c r="D1465" s="11"/>
      <c r="E1465" s="36">
        <v>24</v>
      </c>
      <c r="F1465" s="11"/>
      <c r="G1465" s="65" t="s">
        <v>13</v>
      </c>
      <c r="H1465" s="11" t="s">
        <v>2534</v>
      </c>
      <c r="I1465" s="11" t="s">
        <v>2535</v>
      </c>
      <c r="J1465" s="12" t="s">
        <v>13</v>
      </c>
      <c r="K1465" s="11"/>
    </row>
    <row r="1466" spans="1:11" s="14" customFormat="1" ht="90" x14ac:dyDescent="0.25">
      <c r="A1466" s="36">
        <v>5423</v>
      </c>
      <c r="B1466" s="13" t="s">
        <v>2536</v>
      </c>
      <c r="C1466" s="25"/>
      <c r="D1466" s="11"/>
      <c r="E1466" s="36">
        <v>24</v>
      </c>
      <c r="F1466" s="11"/>
      <c r="G1466" s="65" t="s">
        <v>13</v>
      </c>
      <c r="H1466" s="11" t="s">
        <v>2537</v>
      </c>
      <c r="I1466" s="11" t="s">
        <v>2535</v>
      </c>
      <c r="J1466" s="12" t="s">
        <v>13</v>
      </c>
      <c r="K1466" s="11"/>
    </row>
    <row r="1467" spans="1:11" s="14" customFormat="1" ht="90" x14ac:dyDescent="0.25">
      <c r="A1467" s="36">
        <v>5424</v>
      </c>
      <c r="B1467" s="13" t="s">
        <v>2538</v>
      </c>
      <c r="C1467" s="25"/>
      <c r="D1467" s="11"/>
      <c r="E1467" s="36">
        <v>24</v>
      </c>
      <c r="F1467" s="11"/>
      <c r="G1467" s="65" t="s">
        <v>13</v>
      </c>
      <c r="H1467" s="11" t="s">
        <v>2539</v>
      </c>
      <c r="I1467" s="11" t="s">
        <v>2540</v>
      </c>
      <c r="J1467" s="12" t="s">
        <v>13</v>
      </c>
      <c r="K1467" s="11"/>
    </row>
    <row r="1468" spans="1:11" s="14" customFormat="1" ht="108" x14ac:dyDescent="0.25">
      <c r="A1468" s="36">
        <v>5425</v>
      </c>
      <c r="B1468" s="13" t="s">
        <v>2541</v>
      </c>
      <c r="C1468" s="25"/>
      <c r="D1468" s="11"/>
      <c r="E1468" s="36">
        <v>48</v>
      </c>
      <c r="F1468" s="11"/>
      <c r="G1468" s="65" t="s">
        <v>13</v>
      </c>
      <c r="H1468" s="11" t="s">
        <v>2542</v>
      </c>
      <c r="I1468" s="13" t="s">
        <v>2543</v>
      </c>
      <c r="J1468" s="12" t="s">
        <v>13</v>
      </c>
      <c r="K1468" s="11"/>
    </row>
    <row r="1469" spans="1:11" s="14" customFormat="1" ht="108" x14ac:dyDescent="0.25">
      <c r="A1469" s="36">
        <v>5426</v>
      </c>
      <c r="B1469" s="13" t="s">
        <v>2544</v>
      </c>
      <c r="C1469" s="25"/>
      <c r="D1469" s="11"/>
      <c r="E1469" s="36">
        <v>48</v>
      </c>
      <c r="F1469" s="11"/>
      <c r="G1469" s="65" t="s">
        <v>13</v>
      </c>
      <c r="H1469" s="11" t="s">
        <v>2545</v>
      </c>
      <c r="I1469" s="13" t="s">
        <v>2546</v>
      </c>
      <c r="J1469" s="12" t="s">
        <v>13</v>
      </c>
      <c r="K1469" s="11"/>
    </row>
    <row r="1470" spans="1:11" s="14" customFormat="1" ht="108" x14ac:dyDescent="0.25">
      <c r="A1470" s="36">
        <v>5427</v>
      </c>
      <c r="B1470" s="13" t="s">
        <v>2547</v>
      </c>
      <c r="C1470" s="25"/>
      <c r="D1470" s="11"/>
      <c r="E1470" s="36">
        <v>48</v>
      </c>
      <c r="F1470" s="11"/>
      <c r="G1470" s="65" t="s">
        <v>13</v>
      </c>
      <c r="H1470" s="11" t="s">
        <v>2548</v>
      </c>
      <c r="I1470" s="13" t="s">
        <v>2549</v>
      </c>
      <c r="J1470" s="12" t="s">
        <v>13</v>
      </c>
      <c r="K1470" s="11"/>
    </row>
    <row r="1471" spans="1:11" s="14" customFormat="1" ht="54" x14ac:dyDescent="0.25">
      <c r="A1471" s="36">
        <v>5428</v>
      </c>
      <c r="B1471" s="13" t="s">
        <v>2550</v>
      </c>
      <c r="C1471" s="25"/>
      <c r="D1471" s="11"/>
      <c r="E1471" s="36">
        <v>12</v>
      </c>
      <c r="F1471" s="11"/>
      <c r="G1471" s="65" t="s">
        <v>13</v>
      </c>
      <c r="H1471" s="11" t="s">
        <v>2551</v>
      </c>
      <c r="I1471" s="11" t="s">
        <v>2552</v>
      </c>
      <c r="J1471" s="12" t="s">
        <v>13</v>
      </c>
      <c r="K1471" s="11"/>
    </row>
    <row r="1472" spans="1:11" s="14" customFormat="1" ht="54" x14ac:dyDescent="0.25">
      <c r="A1472" s="36">
        <v>5429</v>
      </c>
      <c r="B1472" s="13" t="s">
        <v>2553</v>
      </c>
      <c r="C1472" s="25"/>
      <c r="D1472" s="11"/>
      <c r="E1472" s="36">
        <v>12</v>
      </c>
      <c r="F1472" s="11"/>
      <c r="G1472" s="65" t="s">
        <v>13</v>
      </c>
      <c r="H1472" s="11" t="s">
        <v>2554</v>
      </c>
      <c r="I1472" s="11" t="s">
        <v>2555</v>
      </c>
      <c r="J1472" s="12" t="s">
        <v>13</v>
      </c>
      <c r="K1472" s="11"/>
    </row>
    <row r="1473" spans="1:11" s="14" customFormat="1" ht="54" x14ac:dyDescent="0.25">
      <c r="A1473" s="36">
        <v>5430</v>
      </c>
      <c r="B1473" s="13" t="s">
        <v>2556</v>
      </c>
      <c r="C1473" s="25"/>
      <c r="D1473" s="11"/>
      <c r="E1473" s="36">
        <v>12</v>
      </c>
      <c r="F1473" s="11"/>
      <c r="G1473" s="65" t="s">
        <v>13</v>
      </c>
      <c r="H1473" s="11" t="s">
        <v>2557</v>
      </c>
      <c r="I1473" s="11" t="s">
        <v>2558</v>
      </c>
      <c r="J1473" s="12" t="s">
        <v>13</v>
      </c>
      <c r="K1473" s="11"/>
    </row>
    <row r="1474" spans="1:11" s="63" customFormat="1" ht="162" x14ac:dyDescent="0.25">
      <c r="A1474" s="36">
        <v>5431</v>
      </c>
      <c r="B1474" s="13" t="s">
        <v>2559</v>
      </c>
      <c r="C1474" s="60"/>
      <c r="D1474" s="61"/>
      <c r="E1474" s="103"/>
      <c r="F1474" s="61"/>
      <c r="G1474" s="62" t="s">
        <v>13</v>
      </c>
      <c r="H1474" s="61" t="s">
        <v>2560</v>
      </c>
      <c r="I1474" s="61" t="s">
        <v>2561</v>
      </c>
      <c r="J1474" s="12" t="s">
        <v>13</v>
      </c>
      <c r="K1474" s="61"/>
    </row>
    <row r="1475" spans="1:11" s="14" customFormat="1" ht="72" x14ac:dyDescent="0.25">
      <c r="A1475" s="36">
        <v>5432</v>
      </c>
      <c r="B1475" s="13" t="s">
        <v>2562</v>
      </c>
      <c r="C1475" s="25"/>
      <c r="D1475" s="11"/>
      <c r="E1475" s="36">
        <v>12</v>
      </c>
      <c r="F1475" s="11"/>
      <c r="G1475" s="65" t="s">
        <v>13</v>
      </c>
      <c r="H1475" s="11" t="s">
        <v>2563</v>
      </c>
      <c r="I1475" s="11" t="s">
        <v>2564</v>
      </c>
      <c r="J1475" s="12" t="s">
        <v>13</v>
      </c>
      <c r="K1475" s="11"/>
    </row>
    <row r="1476" spans="1:11" s="14" customFormat="1" ht="72" x14ac:dyDescent="0.25">
      <c r="A1476" s="36">
        <v>5433</v>
      </c>
      <c r="B1476" s="13" t="s">
        <v>2565</v>
      </c>
      <c r="C1476" s="25"/>
      <c r="D1476" s="11"/>
      <c r="E1476" s="36">
        <v>12</v>
      </c>
      <c r="F1476" s="11"/>
      <c r="G1476" s="65" t="s">
        <v>13</v>
      </c>
      <c r="H1476" s="11" t="s">
        <v>2566</v>
      </c>
      <c r="I1476" s="11" t="s">
        <v>2567</v>
      </c>
      <c r="J1476" s="12" t="s">
        <v>13</v>
      </c>
      <c r="K1476" s="11"/>
    </row>
    <row r="1477" spans="1:11" s="14" customFormat="1" ht="18" x14ac:dyDescent="0.25">
      <c r="A1477" s="36"/>
      <c r="B1477" s="13"/>
      <c r="C1477" s="25"/>
      <c r="D1477" s="11"/>
      <c r="E1477" s="36"/>
      <c r="F1477" s="11"/>
      <c r="G1477" s="65"/>
      <c r="H1477" s="11"/>
      <c r="I1477" s="11"/>
      <c r="J1477" s="12" t="s">
        <v>13</v>
      </c>
      <c r="K1477" s="11"/>
    </row>
    <row r="1478" spans="1:11" s="14" customFormat="1" ht="18" x14ac:dyDescent="0.25">
      <c r="A1478" s="57"/>
      <c r="B1478" s="75" t="s">
        <v>2568</v>
      </c>
      <c r="C1478" s="59"/>
      <c r="D1478" s="59"/>
      <c r="E1478" s="57"/>
      <c r="F1478" s="59"/>
      <c r="G1478" s="65"/>
      <c r="H1478" s="59"/>
      <c r="I1478" s="59"/>
      <c r="J1478" s="12" t="s">
        <v>13</v>
      </c>
      <c r="K1478" s="11"/>
    </row>
    <row r="1479" spans="1:11" s="14" customFormat="1" ht="54" x14ac:dyDescent="0.25">
      <c r="A1479" s="36">
        <v>5434</v>
      </c>
      <c r="B1479" s="13" t="s">
        <v>2569</v>
      </c>
      <c r="C1479" s="25"/>
      <c r="D1479" s="11"/>
      <c r="E1479" s="36">
        <v>3</v>
      </c>
      <c r="F1479" s="11"/>
      <c r="G1479" s="65" t="s">
        <v>13</v>
      </c>
      <c r="H1479" s="11" t="s">
        <v>2570</v>
      </c>
      <c r="I1479" s="13" t="s">
        <v>2571</v>
      </c>
      <c r="J1479" s="12" t="s">
        <v>13</v>
      </c>
      <c r="K1479" s="11"/>
    </row>
    <row r="1480" spans="1:11" s="14" customFormat="1" ht="18" x14ac:dyDescent="0.25">
      <c r="A1480" s="36"/>
      <c r="B1480" s="13"/>
      <c r="C1480" s="25"/>
      <c r="D1480" s="11"/>
      <c r="E1480" s="36"/>
      <c r="F1480" s="11"/>
      <c r="G1480" s="65"/>
      <c r="H1480" s="11"/>
      <c r="I1480" s="11"/>
      <c r="J1480" s="12" t="s">
        <v>13</v>
      </c>
      <c r="K1480" s="11"/>
    </row>
    <row r="1481" spans="1:11" s="14" customFormat="1" ht="18" x14ac:dyDescent="0.25">
      <c r="A1481" s="57"/>
      <c r="B1481" s="75" t="s">
        <v>2572</v>
      </c>
      <c r="C1481" s="59"/>
      <c r="D1481" s="59"/>
      <c r="E1481" s="57"/>
      <c r="F1481" s="59"/>
      <c r="G1481" s="65"/>
      <c r="H1481" s="59"/>
      <c r="I1481" s="59"/>
      <c r="J1481" s="12" t="s">
        <v>13</v>
      </c>
      <c r="K1481" s="11"/>
    </row>
    <row r="1482" spans="1:11" s="14" customFormat="1" ht="144" x14ac:dyDescent="0.25">
      <c r="A1482" s="36">
        <v>5435</v>
      </c>
      <c r="B1482" s="13" t="s">
        <v>2573</v>
      </c>
      <c r="C1482" s="25"/>
      <c r="D1482" s="11"/>
      <c r="E1482" s="36">
        <v>3</v>
      </c>
      <c r="F1482" s="11"/>
      <c r="G1482" s="65" t="s">
        <v>13</v>
      </c>
      <c r="H1482" s="11" t="s">
        <v>2574</v>
      </c>
      <c r="I1482" s="13" t="s">
        <v>2575</v>
      </c>
      <c r="J1482" s="12" t="s">
        <v>13</v>
      </c>
      <c r="K1482" s="11"/>
    </row>
    <row r="1483" spans="1:11" s="14" customFormat="1" ht="77.45" customHeight="1" x14ac:dyDescent="0.25">
      <c r="A1483" s="36">
        <v>5436</v>
      </c>
      <c r="B1483" s="13" t="s">
        <v>2576</v>
      </c>
      <c r="C1483" s="25"/>
      <c r="D1483" s="11"/>
      <c r="E1483" s="36">
        <v>3</v>
      </c>
      <c r="F1483" s="11"/>
      <c r="G1483" s="65" t="s">
        <v>13</v>
      </c>
      <c r="H1483" s="11" t="s">
        <v>2577</v>
      </c>
      <c r="I1483" s="11" t="s">
        <v>2578</v>
      </c>
      <c r="J1483" s="12" t="s">
        <v>13</v>
      </c>
      <c r="K1483" s="11"/>
    </row>
    <row r="1484" spans="1:11" s="14" customFormat="1" ht="72" x14ac:dyDescent="0.25">
      <c r="A1484" s="36">
        <v>5437</v>
      </c>
      <c r="B1484" s="13" t="s">
        <v>2579</v>
      </c>
      <c r="C1484" s="25"/>
      <c r="D1484" s="11"/>
      <c r="E1484" s="36">
        <v>3</v>
      </c>
      <c r="F1484" s="11"/>
      <c r="G1484" s="65" t="s">
        <v>13</v>
      </c>
      <c r="H1484" s="11" t="s">
        <v>2580</v>
      </c>
      <c r="I1484" s="13" t="s">
        <v>2581</v>
      </c>
      <c r="J1484" s="12" t="s">
        <v>13</v>
      </c>
      <c r="K1484" s="11"/>
    </row>
    <row r="1485" spans="1:11" s="14" customFormat="1" ht="108" x14ac:dyDescent="0.25">
      <c r="A1485" s="36">
        <v>5438</v>
      </c>
      <c r="B1485" s="13" t="s">
        <v>2582</v>
      </c>
      <c r="C1485" s="25"/>
      <c r="D1485" s="11"/>
      <c r="E1485" s="36">
        <v>6</v>
      </c>
      <c r="F1485" s="11"/>
      <c r="G1485" s="65" t="s">
        <v>13</v>
      </c>
      <c r="H1485" s="11" t="s">
        <v>2583</v>
      </c>
      <c r="I1485" s="13" t="s">
        <v>2584</v>
      </c>
      <c r="J1485" s="12" t="s">
        <v>13</v>
      </c>
      <c r="K1485" s="11"/>
    </row>
    <row r="1486" spans="1:11" s="14" customFormat="1" ht="108" x14ac:dyDescent="0.25">
      <c r="A1486" s="36">
        <v>5439</v>
      </c>
      <c r="B1486" s="13" t="s">
        <v>2585</v>
      </c>
      <c r="C1486" s="25"/>
      <c r="D1486" s="11"/>
      <c r="E1486" s="36">
        <v>6</v>
      </c>
      <c r="F1486" s="11"/>
      <c r="G1486" s="65" t="s">
        <v>13</v>
      </c>
      <c r="H1486" s="11" t="s">
        <v>2586</v>
      </c>
      <c r="I1486" s="13" t="s">
        <v>2587</v>
      </c>
      <c r="J1486" s="12" t="s">
        <v>13</v>
      </c>
      <c r="K1486" s="11"/>
    </row>
    <row r="1487" spans="1:11" s="14" customFormat="1" ht="108" x14ac:dyDescent="0.25">
      <c r="A1487" s="36">
        <v>5440</v>
      </c>
      <c r="B1487" s="13" t="s">
        <v>2588</v>
      </c>
      <c r="C1487" s="25"/>
      <c r="D1487" s="11"/>
      <c r="E1487" s="36">
        <v>6</v>
      </c>
      <c r="F1487" s="11"/>
      <c r="G1487" s="65" t="s">
        <v>13</v>
      </c>
      <c r="H1487" s="11" t="s">
        <v>2589</v>
      </c>
      <c r="I1487" s="13" t="s">
        <v>2587</v>
      </c>
      <c r="J1487" s="12" t="s">
        <v>13</v>
      </c>
      <c r="K1487" s="11"/>
    </row>
    <row r="1488" spans="1:11" s="14" customFormat="1" ht="115.35" customHeight="1" x14ac:dyDescent="0.25">
      <c r="A1488" s="36">
        <v>5441</v>
      </c>
      <c r="B1488" s="13" t="s">
        <v>2590</v>
      </c>
      <c r="C1488" s="25"/>
      <c r="D1488" s="11"/>
      <c r="E1488" s="36">
        <v>6</v>
      </c>
      <c r="F1488" s="11"/>
      <c r="G1488" s="65" t="s">
        <v>13</v>
      </c>
      <c r="H1488" s="11" t="s">
        <v>2591</v>
      </c>
      <c r="I1488" s="13" t="s">
        <v>2587</v>
      </c>
      <c r="J1488" s="12" t="s">
        <v>13</v>
      </c>
      <c r="K1488" s="11"/>
    </row>
    <row r="1489" spans="1:11" s="14" customFormat="1" ht="73.349999999999994" customHeight="1" x14ac:dyDescent="0.25">
      <c r="A1489" s="36">
        <v>5442</v>
      </c>
      <c r="B1489" s="13" t="s">
        <v>2592</v>
      </c>
      <c r="C1489" s="25"/>
      <c r="D1489" s="11"/>
      <c r="E1489" s="36">
        <v>3</v>
      </c>
      <c r="F1489" s="11"/>
      <c r="G1489" s="65" t="s">
        <v>13</v>
      </c>
      <c r="H1489" s="11" t="s">
        <v>2593</v>
      </c>
      <c r="I1489" s="13" t="s">
        <v>2594</v>
      </c>
      <c r="J1489" s="12" t="s">
        <v>13</v>
      </c>
      <c r="K1489" s="11"/>
    </row>
    <row r="1490" spans="1:11" s="14" customFormat="1" ht="72" x14ac:dyDescent="0.25">
      <c r="A1490" s="36">
        <v>5443</v>
      </c>
      <c r="B1490" s="13" t="s">
        <v>2595</v>
      </c>
      <c r="C1490" s="25"/>
      <c r="D1490" s="11"/>
      <c r="E1490" s="36">
        <v>3</v>
      </c>
      <c r="F1490" s="11"/>
      <c r="G1490" s="65" t="s">
        <v>13</v>
      </c>
      <c r="H1490" s="11" t="s">
        <v>2596</v>
      </c>
      <c r="I1490" s="13" t="s">
        <v>2597</v>
      </c>
      <c r="J1490" s="12" t="s">
        <v>13</v>
      </c>
      <c r="K1490" s="11"/>
    </row>
    <row r="1491" spans="1:11" s="14" customFormat="1" ht="72" x14ac:dyDescent="0.25">
      <c r="A1491" s="36">
        <v>5444</v>
      </c>
      <c r="B1491" s="13" t="s">
        <v>2598</v>
      </c>
      <c r="C1491" s="25"/>
      <c r="D1491" s="11"/>
      <c r="E1491" s="36">
        <v>3</v>
      </c>
      <c r="F1491" s="11"/>
      <c r="G1491" s="65" t="s">
        <v>13</v>
      </c>
      <c r="H1491" s="11" t="s">
        <v>2599</v>
      </c>
      <c r="I1491" s="11" t="s">
        <v>2600</v>
      </c>
      <c r="J1491" s="12" t="s">
        <v>13</v>
      </c>
      <c r="K1491" s="11"/>
    </row>
    <row r="1492" spans="1:11" s="14" customFormat="1" ht="54" x14ac:dyDescent="0.25">
      <c r="A1492" s="36">
        <v>5445</v>
      </c>
      <c r="B1492" s="13" t="s">
        <v>2601</v>
      </c>
      <c r="C1492" s="25"/>
      <c r="D1492" s="11"/>
      <c r="E1492" s="36">
        <v>3</v>
      </c>
      <c r="F1492" s="11"/>
      <c r="G1492" s="65" t="s">
        <v>13</v>
      </c>
      <c r="H1492" s="11" t="s">
        <v>2602</v>
      </c>
      <c r="I1492" s="11" t="s">
        <v>2603</v>
      </c>
      <c r="J1492" s="12" t="s">
        <v>13</v>
      </c>
      <c r="K1492" s="11"/>
    </row>
    <row r="1493" spans="1:11" s="63" customFormat="1" ht="118.7" customHeight="1" x14ac:dyDescent="0.25">
      <c r="A1493" s="36">
        <v>5446</v>
      </c>
      <c r="B1493" s="13" t="s">
        <v>2604</v>
      </c>
      <c r="C1493" s="60"/>
      <c r="D1493" s="61"/>
      <c r="E1493" s="103">
        <v>2</v>
      </c>
      <c r="F1493" s="61"/>
      <c r="G1493" s="62" t="s">
        <v>13</v>
      </c>
      <c r="H1493" s="61" t="s">
        <v>2605</v>
      </c>
      <c r="I1493" s="69" t="s">
        <v>2606</v>
      </c>
      <c r="J1493" s="12" t="s">
        <v>13</v>
      </c>
      <c r="K1493" s="61"/>
    </row>
    <row r="1494" spans="1:11" s="14" customFormat="1" ht="36" customHeight="1" x14ac:dyDescent="0.25">
      <c r="A1494" s="36">
        <v>5447</v>
      </c>
      <c r="B1494" s="13"/>
      <c r="C1494" s="25"/>
      <c r="D1494" s="11"/>
      <c r="E1494" s="36"/>
      <c r="F1494" s="11"/>
      <c r="G1494" s="65"/>
      <c r="H1494" s="11"/>
      <c r="I1494" s="11"/>
      <c r="J1494" s="12" t="s">
        <v>13</v>
      </c>
      <c r="K1494" s="11"/>
    </row>
    <row r="1495" spans="1:11" s="14" customFormat="1" ht="36" customHeight="1" x14ac:dyDescent="0.25">
      <c r="A1495" s="36">
        <v>5448</v>
      </c>
      <c r="B1495" s="13"/>
      <c r="C1495" s="25"/>
      <c r="D1495" s="11"/>
      <c r="E1495" s="36"/>
      <c r="F1495" s="11"/>
      <c r="G1495" s="65"/>
      <c r="H1495" s="11"/>
      <c r="I1495" s="11"/>
      <c r="J1495" s="12" t="s">
        <v>13</v>
      </c>
      <c r="K1495" s="11"/>
    </row>
    <row r="1496" spans="1:11" s="14" customFormat="1" ht="36" customHeight="1" x14ac:dyDescent="0.25">
      <c r="A1496" s="36">
        <v>5449</v>
      </c>
      <c r="B1496" s="13"/>
      <c r="C1496" s="25"/>
      <c r="D1496" s="11"/>
      <c r="E1496" s="36"/>
      <c r="F1496" s="11"/>
      <c r="G1496" s="65"/>
      <c r="H1496" s="11"/>
      <c r="I1496" s="11"/>
      <c r="J1496" s="12" t="s">
        <v>13</v>
      </c>
      <c r="K1496" s="11"/>
    </row>
    <row r="1497" spans="1:11" s="14" customFormat="1" ht="36" x14ac:dyDescent="0.25">
      <c r="A1497" s="36">
        <v>5450</v>
      </c>
      <c r="B1497" s="13" t="s">
        <v>1448</v>
      </c>
      <c r="C1497" s="25"/>
      <c r="D1497" s="11" t="s">
        <v>1393</v>
      </c>
      <c r="E1497" s="36"/>
      <c r="F1497" s="11"/>
      <c r="G1497" s="65"/>
      <c r="H1497" s="11"/>
      <c r="I1497" s="11"/>
      <c r="J1497" s="12" t="s">
        <v>13</v>
      </c>
      <c r="K1497" s="11"/>
    </row>
    <row r="1498" spans="1:11" s="14" customFormat="1" ht="36" x14ac:dyDescent="0.25">
      <c r="A1498" s="36">
        <v>5451</v>
      </c>
      <c r="B1498" s="13" t="s">
        <v>1448</v>
      </c>
      <c r="C1498" s="25"/>
      <c r="D1498" s="11" t="s">
        <v>1393</v>
      </c>
      <c r="E1498" s="36"/>
      <c r="F1498" s="11"/>
      <c r="G1498" s="65"/>
      <c r="H1498" s="11"/>
      <c r="I1498" s="11"/>
      <c r="J1498" s="12" t="s">
        <v>13</v>
      </c>
      <c r="K1498" s="11"/>
    </row>
    <row r="1499" spans="1:11" s="14" customFormat="1" ht="36" x14ac:dyDescent="0.25">
      <c r="A1499" s="36">
        <v>5452</v>
      </c>
      <c r="B1499" s="13" t="s">
        <v>1448</v>
      </c>
      <c r="C1499" s="25"/>
      <c r="D1499" s="11" t="s">
        <v>1393</v>
      </c>
      <c r="E1499" s="36"/>
      <c r="F1499" s="11"/>
      <c r="G1499" s="65"/>
      <c r="H1499" s="11"/>
      <c r="I1499" s="11"/>
      <c r="J1499" s="12" t="s">
        <v>13</v>
      </c>
      <c r="K1499" s="11"/>
    </row>
    <row r="1500" spans="1:11" s="14" customFormat="1" ht="36" x14ac:dyDescent="0.25">
      <c r="A1500" s="36">
        <v>5453</v>
      </c>
      <c r="B1500" s="13" t="s">
        <v>1448</v>
      </c>
      <c r="C1500" s="25"/>
      <c r="D1500" s="11" t="s">
        <v>1393</v>
      </c>
      <c r="E1500" s="36"/>
      <c r="F1500" s="11"/>
      <c r="G1500" s="65"/>
      <c r="H1500" s="11"/>
      <c r="I1500" s="11"/>
      <c r="J1500" s="12" t="s">
        <v>13</v>
      </c>
      <c r="K1500" s="11"/>
    </row>
    <row r="1501" spans="1:11" s="14" customFormat="1" ht="36" x14ac:dyDescent="0.25">
      <c r="A1501" s="36">
        <v>5454</v>
      </c>
      <c r="B1501" s="13" t="s">
        <v>1448</v>
      </c>
      <c r="C1501" s="25"/>
      <c r="D1501" s="11" t="s">
        <v>1393</v>
      </c>
      <c r="E1501" s="36"/>
      <c r="F1501" s="11"/>
      <c r="G1501" s="65"/>
      <c r="H1501" s="11"/>
      <c r="I1501" s="11"/>
      <c r="J1501" s="12" t="s">
        <v>13</v>
      </c>
      <c r="K1501" s="11"/>
    </row>
    <row r="1502" spans="1:11" s="14" customFormat="1" ht="36" x14ac:dyDescent="0.25">
      <c r="A1502" s="36">
        <v>5455</v>
      </c>
      <c r="B1502" s="13" t="s">
        <v>1448</v>
      </c>
      <c r="C1502" s="25"/>
      <c r="D1502" s="11" t="s">
        <v>1393</v>
      </c>
      <c r="E1502" s="36"/>
      <c r="F1502" s="11"/>
      <c r="G1502" s="65"/>
      <c r="H1502" s="11"/>
      <c r="I1502" s="11"/>
      <c r="J1502" s="12" t="s">
        <v>13</v>
      </c>
      <c r="K1502" s="11"/>
    </row>
    <row r="1503" spans="1:11" s="14" customFormat="1" ht="36" x14ac:dyDescent="0.25">
      <c r="A1503" s="36">
        <v>5456</v>
      </c>
      <c r="B1503" s="13" t="s">
        <v>2607</v>
      </c>
      <c r="C1503" s="25"/>
      <c r="D1503" s="11" t="s">
        <v>2608</v>
      </c>
      <c r="E1503" s="36"/>
      <c r="F1503" s="11"/>
      <c r="G1503" s="65"/>
      <c r="H1503" s="11"/>
      <c r="I1503" s="11"/>
      <c r="J1503" s="12" t="s">
        <v>13</v>
      </c>
      <c r="K1503" s="11"/>
    </row>
    <row r="1504" spans="1:11" s="14" customFormat="1" ht="18" x14ac:dyDescent="0.25">
      <c r="A1504" s="36">
        <v>5457</v>
      </c>
      <c r="B1504" s="13" t="s">
        <v>2609</v>
      </c>
      <c r="C1504" s="25"/>
      <c r="D1504" s="11" t="s">
        <v>1387</v>
      </c>
      <c r="E1504" s="36"/>
      <c r="F1504" s="11"/>
      <c r="G1504" s="65"/>
      <c r="H1504" s="11"/>
      <c r="I1504" s="11"/>
      <c r="J1504" s="12" t="s">
        <v>13</v>
      </c>
      <c r="K1504" s="11"/>
    </row>
    <row r="1505" spans="1:11" s="14" customFormat="1" ht="18" x14ac:dyDescent="0.25">
      <c r="A1505" s="36">
        <v>5458</v>
      </c>
      <c r="B1505" s="13" t="s">
        <v>2610</v>
      </c>
      <c r="C1505" s="25"/>
      <c r="D1505" s="11" t="s">
        <v>1387</v>
      </c>
      <c r="E1505" s="36"/>
      <c r="F1505" s="11"/>
      <c r="G1505" s="65"/>
      <c r="H1505" s="11"/>
      <c r="I1505" s="11"/>
      <c r="J1505" s="12" t="s">
        <v>13</v>
      </c>
      <c r="K1505" s="11"/>
    </row>
    <row r="1506" spans="1:11" s="14" customFormat="1" ht="36" x14ac:dyDescent="0.25">
      <c r="A1506" s="36">
        <v>5459</v>
      </c>
      <c r="B1506" s="13" t="s">
        <v>2611</v>
      </c>
      <c r="C1506" s="25"/>
      <c r="D1506" s="11" t="s">
        <v>2608</v>
      </c>
      <c r="E1506" s="36"/>
      <c r="F1506" s="11"/>
      <c r="G1506" s="65"/>
      <c r="H1506" s="11"/>
      <c r="I1506" s="11"/>
      <c r="J1506" s="12" t="s">
        <v>13</v>
      </c>
      <c r="K1506" s="11"/>
    </row>
    <row r="1507" spans="1:11" s="14" customFormat="1" ht="18" x14ac:dyDescent="0.25">
      <c r="A1507" s="36">
        <v>5460</v>
      </c>
      <c r="B1507" s="13" t="s">
        <v>2612</v>
      </c>
      <c r="C1507" s="25"/>
      <c r="D1507" s="11" t="s">
        <v>1387</v>
      </c>
      <c r="E1507" s="36"/>
      <c r="F1507" s="11"/>
      <c r="G1507" s="65"/>
      <c r="H1507" s="11"/>
      <c r="I1507" s="11"/>
      <c r="J1507" s="12" t="s">
        <v>13</v>
      </c>
      <c r="K1507" s="11"/>
    </row>
    <row r="1508" spans="1:11" s="14" customFormat="1" ht="36" x14ac:dyDescent="0.25">
      <c r="A1508" s="36">
        <v>5461</v>
      </c>
      <c r="B1508" s="13" t="s">
        <v>2613</v>
      </c>
      <c r="C1508" s="25"/>
      <c r="D1508" s="11" t="s">
        <v>2608</v>
      </c>
      <c r="E1508" s="36"/>
      <c r="F1508" s="11"/>
      <c r="G1508" s="65"/>
      <c r="H1508" s="11"/>
      <c r="I1508" s="11"/>
      <c r="J1508" s="12" t="s">
        <v>13</v>
      </c>
      <c r="K1508" s="11"/>
    </row>
    <row r="1509" spans="1:11" s="14" customFormat="1" ht="18" x14ac:dyDescent="0.25">
      <c r="A1509" s="36">
        <v>5462</v>
      </c>
      <c r="B1509" s="13" t="s">
        <v>2614</v>
      </c>
      <c r="C1509" s="25"/>
      <c r="D1509" s="11" t="s">
        <v>2608</v>
      </c>
      <c r="E1509" s="36"/>
      <c r="F1509" s="11"/>
      <c r="G1509" s="65"/>
      <c r="H1509" s="11"/>
      <c r="I1509" s="11"/>
      <c r="J1509" s="12" t="s">
        <v>13</v>
      </c>
      <c r="K1509" s="11"/>
    </row>
    <row r="1510" spans="1:11" s="14" customFormat="1" ht="18" x14ac:dyDescent="0.25">
      <c r="A1510" s="36">
        <v>5463</v>
      </c>
      <c r="B1510" s="13" t="s">
        <v>2615</v>
      </c>
      <c r="C1510" s="25"/>
      <c r="D1510" s="11" t="s">
        <v>1387</v>
      </c>
      <c r="E1510" s="36"/>
      <c r="F1510" s="11"/>
      <c r="G1510" s="65"/>
      <c r="H1510" s="11"/>
      <c r="I1510" s="11"/>
      <c r="J1510" s="12" t="s">
        <v>13</v>
      </c>
      <c r="K1510" s="11"/>
    </row>
    <row r="1511" spans="1:11" s="14" customFormat="1" ht="36" x14ac:dyDescent="0.25">
      <c r="A1511" s="36">
        <v>5464</v>
      </c>
      <c r="B1511" s="13" t="s">
        <v>2616</v>
      </c>
      <c r="C1511" s="25"/>
      <c r="D1511" s="11" t="s">
        <v>2608</v>
      </c>
      <c r="E1511" s="36"/>
      <c r="F1511" s="11"/>
      <c r="G1511" s="65"/>
      <c r="H1511" s="11"/>
      <c r="I1511" s="11"/>
      <c r="J1511" s="12" t="s">
        <v>13</v>
      </c>
      <c r="K1511" s="11"/>
    </row>
    <row r="1512" spans="1:11" s="14" customFormat="1" ht="35.25" customHeight="1" x14ac:dyDescent="0.25">
      <c r="A1512" s="36"/>
      <c r="B1512" s="11"/>
      <c r="C1512" s="53"/>
      <c r="D1512" s="11"/>
      <c r="E1512" s="11"/>
      <c r="F1512" s="11"/>
      <c r="G1512" s="55"/>
      <c r="H1512" s="11"/>
      <c r="I1512" s="11"/>
      <c r="J1512" s="11"/>
      <c r="K1512" s="11"/>
    </row>
    <row r="1513" spans="1:11" s="14" customFormat="1" ht="35.25" customHeight="1" x14ac:dyDescent="0.25">
      <c r="A1513" s="36"/>
      <c r="B1513" s="11"/>
      <c r="C1513" s="53"/>
      <c r="D1513" s="11"/>
      <c r="E1513" s="11"/>
      <c r="F1513" s="11"/>
      <c r="G1513" s="55"/>
      <c r="H1513" s="11"/>
      <c r="I1513" s="11"/>
      <c r="J1513" s="11"/>
      <c r="K1513" s="11"/>
    </row>
    <row r="1515" spans="1:11" ht="36" x14ac:dyDescent="0.25">
      <c r="F1515" s="13" t="s">
        <v>2621</v>
      </c>
      <c r="G1515" s="13"/>
      <c r="H1515" s="13"/>
      <c r="I1515" s="13"/>
      <c r="J1515" s="13"/>
    </row>
    <row r="1516" spans="1:11" ht="46.5" x14ac:dyDescent="0.35">
      <c r="D1516" s="78" t="s">
        <v>2617</v>
      </c>
      <c r="E1516" s="79"/>
      <c r="F1516" s="80">
        <f>COUNTIF(J3:J1513,"OPEN")</f>
        <v>1122</v>
      </c>
      <c r="J1516" s="105"/>
    </row>
    <row r="1517" spans="1:11" ht="69.75" x14ac:dyDescent="0.35">
      <c r="D1517" s="81" t="s">
        <v>2618</v>
      </c>
      <c r="E1517" s="79"/>
      <c r="F1517" s="80">
        <f>COUNTIF(J3:J1513, "Pending")</f>
        <v>1</v>
      </c>
      <c r="J1517" s="105"/>
    </row>
    <row r="1518" spans="1:11" ht="46.5" x14ac:dyDescent="0.35">
      <c r="D1518" s="82" t="s">
        <v>2619</v>
      </c>
      <c r="E1518" s="79"/>
      <c r="F1518" s="80">
        <f>COUNTIF(J3:J1513, "CLOSED")</f>
        <v>363</v>
      </c>
      <c r="J1518" s="105"/>
    </row>
    <row r="1519" spans="1:11" ht="46.5" x14ac:dyDescent="0.35">
      <c r="D1519" s="83" t="s">
        <v>2620</v>
      </c>
      <c r="E1519" s="79"/>
      <c r="F1519" s="80">
        <f>F1516+F1517+F1518</f>
        <v>1486</v>
      </c>
      <c r="J1519" s="105"/>
    </row>
  </sheetData>
  <autoFilter ref="A2:K1511" xr:uid="{EB2C9ED4-4874-4A3A-A59C-B5BD89CD966F}"/>
  <mergeCells count="19">
    <mergeCell ref="C579:C587"/>
    <mergeCell ref="A1:K1"/>
    <mergeCell ref="C5:C12"/>
    <mergeCell ref="C14:C22"/>
    <mergeCell ref="C24:C54"/>
    <mergeCell ref="C56:C79"/>
    <mergeCell ref="C81:C88"/>
    <mergeCell ref="C90:C137"/>
    <mergeCell ref="C139:C206"/>
    <mergeCell ref="C550:C555"/>
    <mergeCell ref="C557:C571"/>
    <mergeCell ref="C573:C577"/>
    <mergeCell ref="C729:C745"/>
    <mergeCell ref="C589:C602"/>
    <mergeCell ref="C604:C611"/>
    <mergeCell ref="C613:C623"/>
    <mergeCell ref="C625:C629"/>
    <mergeCell ref="C631:C638"/>
    <mergeCell ref="C692:C727"/>
  </mergeCells>
  <conditionalFormatting sqref="G839:G852">
    <cfRule type="cellIs" dxfId="68" priority="10" operator="equal">
      <formula>"OPEN"</formula>
    </cfRule>
    <cfRule type="cellIs" dxfId="67" priority="11" operator="equal">
      <formula>"CLOSED"</formula>
    </cfRule>
    <cfRule type="cellIs" dxfId="66" priority="12" operator="equal">
      <formula>"PENDING"</formula>
    </cfRule>
  </conditionalFormatting>
  <conditionalFormatting sqref="J3">
    <cfRule type="cellIs" dxfId="65" priority="78" operator="equal">
      <formula>"PENDING"</formula>
    </cfRule>
    <cfRule type="cellIs" dxfId="64" priority="77" operator="equal">
      <formula>"CLOSED"</formula>
    </cfRule>
    <cfRule type="cellIs" dxfId="63" priority="76" operator="equal">
      <formula>"OPEN"</formula>
    </cfRule>
  </conditionalFormatting>
  <conditionalFormatting sqref="J5:J12">
    <cfRule type="cellIs" dxfId="62" priority="75" operator="equal">
      <formula>"PENDING"</formula>
    </cfRule>
    <cfRule type="cellIs" dxfId="61" priority="74" operator="equal">
      <formula>"CLOSED"</formula>
    </cfRule>
    <cfRule type="cellIs" dxfId="60" priority="73" operator="equal">
      <formula>"OPEN"</formula>
    </cfRule>
  </conditionalFormatting>
  <conditionalFormatting sqref="J14:J22">
    <cfRule type="cellIs" dxfId="59" priority="72" operator="equal">
      <formula>"PENDING"</formula>
    </cfRule>
    <cfRule type="cellIs" dxfId="58" priority="71" operator="equal">
      <formula>"CLOSED"</formula>
    </cfRule>
    <cfRule type="cellIs" dxfId="57" priority="70" operator="equal">
      <formula>"OPEN"</formula>
    </cfRule>
  </conditionalFormatting>
  <conditionalFormatting sqref="J24:J54">
    <cfRule type="cellIs" dxfId="56" priority="69" operator="equal">
      <formula>"PENDING"</formula>
    </cfRule>
    <cfRule type="cellIs" dxfId="55" priority="68" operator="equal">
      <formula>"CLOSED"</formula>
    </cfRule>
    <cfRule type="cellIs" dxfId="54" priority="67" operator="equal">
      <formula>"OPEN"</formula>
    </cfRule>
  </conditionalFormatting>
  <conditionalFormatting sqref="J56:J79">
    <cfRule type="cellIs" dxfId="53" priority="66" operator="equal">
      <formula>"PENDING"</formula>
    </cfRule>
    <cfRule type="cellIs" dxfId="52" priority="65" operator="equal">
      <formula>"CLOSED"</formula>
    </cfRule>
    <cfRule type="cellIs" dxfId="51" priority="64" operator="equal">
      <formula>"OPEN"</formula>
    </cfRule>
  </conditionalFormatting>
  <conditionalFormatting sqref="J81:J88">
    <cfRule type="cellIs" dxfId="50" priority="63" operator="equal">
      <formula>"PENDING"</formula>
    </cfRule>
    <cfRule type="cellIs" dxfId="49" priority="62" operator="equal">
      <formula>"CLOSED"</formula>
    </cfRule>
    <cfRule type="cellIs" dxfId="48" priority="61" operator="equal">
      <formula>"OPEN"</formula>
    </cfRule>
  </conditionalFormatting>
  <conditionalFormatting sqref="J90:J137">
    <cfRule type="cellIs" dxfId="47" priority="60" operator="equal">
      <formula>"PENDING"</formula>
    </cfRule>
    <cfRule type="cellIs" dxfId="46" priority="59" operator="equal">
      <formula>"CLOSED"</formula>
    </cfRule>
    <cfRule type="cellIs" dxfId="45" priority="58" operator="equal">
      <formula>"OPEN"</formula>
    </cfRule>
  </conditionalFormatting>
  <conditionalFormatting sqref="J139:J206">
    <cfRule type="cellIs" dxfId="44" priority="57" operator="equal">
      <formula>"PENDING"</formula>
    </cfRule>
    <cfRule type="cellIs" dxfId="43" priority="56" operator="equal">
      <formula>"CLOSED"</formula>
    </cfRule>
    <cfRule type="cellIs" dxfId="42" priority="55" operator="equal">
      <formula>"OPEN"</formula>
    </cfRule>
  </conditionalFormatting>
  <conditionalFormatting sqref="J208:J413 J415:J548">
    <cfRule type="cellIs" dxfId="41" priority="54" operator="equal">
      <formula>"PENDING"</formula>
    </cfRule>
    <cfRule type="cellIs" dxfId="40" priority="53" operator="equal">
      <formula>"CLOSED"</formula>
    </cfRule>
    <cfRule type="cellIs" dxfId="39" priority="52" operator="equal">
      <formula>"OPEN"</formula>
    </cfRule>
  </conditionalFormatting>
  <conditionalFormatting sqref="J550:J555">
    <cfRule type="cellIs" dxfId="38" priority="49" operator="equal">
      <formula>"OPEN"</formula>
    </cfRule>
    <cfRule type="cellIs" dxfId="37" priority="51" operator="equal">
      <formula>"PENDING"</formula>
    </cfRule>
    <cfRule type="cellIs" dxfId="36" priority="50" operator="equal">
      <formula>"CLOSED"</formula>
    </cfRule>
  </conditionalFormatting>
  <conditionalFormatting sqref="J557:J571">
    <cfRule type="cellIs" dxfId="35" priority="48" operator="equal">
      <formula>"PENDING"</formula>
    </cfRule>
    <cfRule type="cellIs" dxfId="34" priority="47" operator="equal">
      <formula>"CLOSED"</formula>
    </cfRule>
    <cfRule type="cellIs" dxfId="33" priority="46" operator="equal">
      <formula>"OPEN"</formula>
    </cfRule>
  </conditionalFormatting>
  <conditionalFormatting sqref="J573:J577 J579:J587">
    <cfRule type="cellIs" dxfId="32" priority="45" operator="equal">
      <formula>"PENDING"</formula>
    </cfRule>
    <cfRule type="cellIs" dxfId="31" priority="44" operator="equal">
      <formula>"CLOSED"</formula>
    </cfRule>
    <cfRule type="cellIs" dxfId="30" priority="43" operator="equal">
      <formula>"OPEN"</formula>
    </cfRule>
  </conditionalFormatting>
  <conditionalFormatting sqref="J589:J602">
    <cfRule type="cellIs" dxfId="29" priority="40" operator="equal">
      <formula>"OPEN"</formula>
    </cfRule>
    <cfRule type="cellIs" dxfId="28" priority="41" operator="equal">
      <formula>"CLOSED"</formula>
    </cfRule>
    <cfRule type="cellIs" dxfId="27" priority="42" operator="equal">
      <formula>"PENDING"</formula>
    </cfRule>
  </conditionalFormatting>
  <conditionalFormatting sqref="J604:J611">
    <cfRule type="cellIs" dxfId="26" priority="39" operator="equal">
      <formula>"PENDING"</formula>
    </cfRule>
    <cfRule type="cellIs" dxfId="25" priority="38" operator="equal">
      <formula>"CLOSED"</formula>
    </cfRule>
    <cfRule type="cellIs" dxfId="24" priority="37" operator="equal">
      <formula>"OPEN"</formula>
    </cfRule>
  </conditionalFormatting>
  <conditionalFormatting sqref="J613:J623">
    <cfRule type="cellIs" dxfId="23" priority="36" operator="equal">
      <formula>"PENDING"</formula>
    </cfRule>
    <cfRule type="cellIs" dxfId="22" priority="35" operator="equal">
      <formula>"CLOSED"</formula>
    </cfRule>
    <cfRule type="cellIs" dxfId="21" priority="34" operator="equal">
      <formula>"OPEN"</formula>
    </cfRule>
  </conditionalFormatting>
  <conditionalFormatting sqref="J625:J629">
    <cfRule type="cellIs" dxfId="20" priority="31" operator="equal">
      <formula>"OPEN"</formula>
    </cfRule>
    <cfRule type="cellIs" dxfId="19" priority="33" operator="equal">
      <formula>"PENDING"</formula>
    </cfRule>
    <cfRule type="cellIs" dxfId="18" priority="32" operator="equal">
      <formula>"CLOSED"</formula>
    </cfRule>
  </conditionalFormatting>
  <conditionalFormatting sqref="J631:J638">
    <cfRule type="cellIs" dxfId="17" priority="30" operator="equal">
      <formula>"PENDING"</formula>
    </cfRule>
    <cfRule type="cellIs" dxfId="16" priority="29" operator="equal">
      <formula>"CLOSED"</formula>
    </cfRule>
    <cfRule type="cellIs" dxfId="15" priority="28" operator="equal">
      <formula>"OPEN"</formula>
    </cfRule>
  </conditionalFormatting>
  <conditionalFormatting sqref="J640:J682">
    <cfRule type="cellIs" dxfId="14" priority="27" operator="equal">
      <formula>"PENDING"</formula>
    </cfRule>
    <cfRule type="cellIs" dxfId="13" priority="26" operator="equal">
      <formula>"CLOSED"</formula>
    </cfRule>
    <cfRule type="cellIs" dxfId="12" priority="25" operator="equal">
      <formula>"OPEN"</formula>
    </cfRule>
  </conditionalFormatting>
  <conditionalFormatting sqref="J684:J690">
    <cfRule type="cellIs" dxfId="11" priority="24" operator="equal">
      <formula>"PENDING"</formula>
    </cfRule>
    <cfRule type="cellIs" dxfId="10" priority="23" operator="equal">
      <formula>"CLOSED"</formula>
    </cfRule>
    <cfRule type="cellIs" dxfId="9" priority="22" operator="equal">
      <formula>"OPEN"</formula>
    </cfRule>
  </conditionalFormatting>
  <conditionalFormatting sqref="J692:J727">
    <cfRule type="cellIs" dxfId="8" priority="21" operator="equal">
      <formula>"PENDING"</formula>
    </cfRule>
    <cfRule type="cellIs" dxfId="7" priority="20" operator="equal">
      <formula>"CLOSED"</formula>
    </cfRule>
    <cfRule type="cellIs" dxfId="6" priority="19" operator="equal">
      <formula>"OPEN"</formula>
    </cfRule>
  </conditionalFormatting>
  <conditionalFormatting sqref="J729:J754">
    <cfRule type="cellIs" dxfId="5" priority="18" operator="equal">
      <formula>"PENDING"</formula>
    </cfRule>
    <cfRule type="cellIs" dxfId="4" priority="17" operator="equal">
      <formula>"CLOSED"</formula>
    </cfRule>
    <cfRule type="cellIs" dxfId="3" priority="16" operator="equal">
      <formula>"OPEN"</formula>
    </cfRule>
  </conditionalFormatting>
  <conditionalFormatting sqref="J756:J1511">
    <cfRule type="cellIs" dxfId="2" priority="1" operator="equal">
      <formula>"OPEN"</formula>
    </cfRule>
    <cfRule type="cellIs" dxfId="1" priority="3" operator="equal">
      <formula>"PENDING"</formula>
    </cfRule>
    <cfRule type="cellIs" dxfId="0" priority="2" operator="equal">
      <formula>"CLOSED"</formula>
    </cfRule>
  </conditionalFormatting>
  <dataValidations count="1">
    <dataValidation type="list" allowBlank="1" sqref="J3 J5:J12 J14:J22 J24:J54 J56:J79 J81:J88 J90:J137 J415:J548 J139:J206 J550:J555 J557:J571 J573:J577 J579:J587 J589:J602 J604:J611 J613:J623 J625:J629 J631:J638 J640:J682 J684:J690 J692:J727 J208:J413 G839:G852 J729:J754 J756:J1511" xr:uid="{9A0829DA-5931-4EE2-AAFB-EF9F1C4BE49D}">
      <formula1>"OPEN,CLOSED,PENDING"</formula1>
    </dataValidation>
  </dataValidations>
  <hyperlinks>
    <hyperlink ref="B764" r:id="rId1" display="../../Joachim Groenewald/AppData/Roaming/Microsoft/CFM 56 SB DATA/CFM56_7B_SB_REV_72-0229_TSN.04_N_20120223.pdf" xr:uid="{07ED9D3E-080D-4595-A352-531959F2C91C}"/>
    <hyperlink ref="B765" r:id="rId2" display="../../Joachim Groenewald/AppData/Roaming/Microsoft/CFM 56 SB DATA/CFM56_7B_SB_REV_72-0325_TSN.03_R_20021002.pdf" xr:uid="{14184D0C-B2CE-4A1F-9E71-D84BF563C32F}"/>
    <hyperlink ref="B766" r:id="rId3" display="../../Joachim Groenewald/AppData/Roaming/Microsoft/CFM 56 SB DATA/CFM56_7B_SB_REV_72-0477_TSN.02_R_20080306.pdf" xr:uid="{E335F3C6-EF8F-41C4-BA77-BCDAB18CE7E1}"/>
    <hyperlink ref="B767" r:id="rId4" display="../../Joachim Groenewald/AppData/Roaming/Microsoft/CFM 56 SB DATA/CFM56_7B_SB_REV_72-0512_TSN.05_R_20220704.pdf" xr:uid="{E034CB2F-026B-420A-9D50-4EAD12BE14D7}"/>
    <hyperlink ref="B768" r:id="rId5" display="../../Joachim Groenewald/AppData/Roaming/Microsoft/CFM 56 SB DATA/CFM56_7B_SB_REV_72-0521_TSN.01_R_20120613.pdf" xr:uid="{2452C65C-41D8-49F8-AC8E-7D6EC33ED403}"/>
    <hyperlink ref="B769" r:id="rId6" display="../../Joachim Groenewald/AppData/Roaming/Microsoft/CFM 56 SB DATA/CFM56_7B_SB_REV_72-0926_TSN.01_R_20131009.pdf" xr:uid="{354509CD-D6F3-4A2D-94A0-0A2205D13663}"/>
    <hyperlink ref="B770" r:id="rId7" display="../../Joachim Groenewald/AppData/Roaming/Microsoft/CFM 56 SB DATA/CFM56_7B_SB_REV_72-0986_TSN.03_R_20181030.pdf" xr:uid="{922FC041-BD80-4004-BAD8-C3F2BFEEBCD6}"/>
    <hyperlink ref="B771" r:id="rId8" display="../../Joachim Groenewald/AppData/Roaming/Microsoft/CFM 56 SB DATA/CFM56_7B_SB_REV_72-1005_TSN.03_R_20181030 (1).pdf" xr:uid="{0ED0E545-66AC-4F15-B33D-BB26B83F9A4F}"/>
    <hyperlink ref="B772" r:id="rId9" display="../../Joachim Groenewald/AppData/Roaming/Microsoft/CFM 56 SB DATA/CFM56_7B_SB_REV_77-0005_TSN.00_N_20031126.pdf" xr:uid="{FC15AD73-DE14-4BE8-B09F-5917BCF4BD6D}"/>
    <hyperlink ref="B773" r:id="rId10" display="../../Joachim Groenewald/AppData/Roaming/Microsoft/CFM 56 SB DATA/CFM56_7B_SB_REV_79-0010_TSN.02_R_19990101.pdf" xr:uid="{CEA02168-4C07-44C7-9040-295D3A7593BA}"/>
  </hyperlinks>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 HOURS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Mokoena</dc:creator>
  <cp:lastModifiedBy>Walter Mokoena</cp:lastModifiedBy>
  <dcterms:created xsi:type="dcterms:W3CDTF">2026-09-08T06:49:45Z</dcterms:created>
  <dcterms:modified xsi:type="dcterms:W3CDTF">2026-09-09T05:59:26Z</dcterms:modified>
</cp:coreProperties>
</file>